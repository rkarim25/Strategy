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Limak Renewable</t>
        </is>
      </c>
    </row>
    <row r="3">
      <c r="B3" s="2" t="inlineStr">
        <is>
          <t>CEMBI CEEMEA Assessment | Country: Turkey | Sector: Utilities | Benchmark: LIMAK 8.75%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$98.20 (8.75% YTM)</t>
        </is>
      </c>
      <c r="D6" s="4" t="inlineStr">
        <is>
          <t>B+ / B2 (+435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Hydroelectric Dam Baseload (76%), Hybrid Utility-Scale Solar (20%), Wind Generation (4%)</t>
        </is>
      </c>
      <c r="D7" s="4" t="inlineStr">
        <is>
          <t>Recovery Floor</t>
        </is>
      </c>
      <c r="E7" s="5" t="inlineStr">
        <is>
          <t>$70.00 (Base $100.00)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$100.00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$85.00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Limak Renewable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258.4</v>
      </c>
      <c r="D7" s="15" t="n">
        <v>311.6</v>
      </c>
      <c r="E7" s="15" t="n">
        <v>349.6</v>
      </c>
      <c r="F7" s="15" t="n">
        <v>380</v>
      </c>
      <c r="G7" s="16" t="n">
        <v>410.4</v>
      </c>
      <c r="H7" s="16" t="n">
        <v>437</v>
      </c>
      <c r="I7" s="16" t="n">
        <v>456</v>
      </c>
    </row>
    <row r="8">
      <c r="B8" s="5" t="inlineStr">
        <is>
          <t>Cost of Goods Sold (COGS)</t>
        </is>
      </c>
      <c r="C8" s="17" t="n">
        <v>41.6</v>
      </c>
      <c r="D8" s="17" t="n">
        <v>50.5</v>
      </c>
      <c r="E8" s="17" t="n">
        <v>55.2</v>
      </c>
      <c r="F8" s="17" t="n">
        <v>59.4</v>
      </c>
      <c r="G8" s="18" t="n">
        <v>63.6</v>
      </c>
      <c r="H8" s="18" t="n">
        <v>67.09999999999999</v>
      </c>
      <c r="I8" s="18" t="n">
        <v>70.09999999999999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32.8</v>
      </c>
      <c r="D11" s="17" t="n">
        <v>37.4</v>
      </c>
      <c r="E11" s="17" t="n">
        <v>42</v>
      </c>
      <c r="F11" s="17" t="n">
        <v>45.6</v>
      </c>
      <c r="G11" s="18" t="n">
        <v>48.3</v>
      </c>
      <c r="H11" s="18" t="n">
        <v>51.1</v>
      </c>
      <c r="I11" s="18" t="n">
        <v>52.9</v>
      </c>
    </row>
    <row r="12">
      <c r="B12" s="14" t="inlineStr">
        <is>
          <t>EBITDA</t>
        </is>
      </c>
      <c r="C12" s="15" t="n">
        <v>178.8</v>
      </c>
      <c r="D12" s="15" t="n">
        <v>220</v>
      </c>
      <c r="E12" s="15" t="n">
        <v>247.5</v>
      </c>
      <c r="F12" s="15" t="n">
        <v>275</v>
      </c>
      <c r="G12" s="16" t="n">
        <v>302.5</v>
      </c>
      <c r="H12" s="16" t="n">
        <v>324.5</v>
      </c>
      <c r="I12" s="16" t="n">
        <v>341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77</v>
      </c>
      <c r="D14" s="17" t="n">
        <v>84.7</v>
      </c>
      <c r="E14" s="17" t="n">
        <v>91.40000000000001</v>
      </c>
      <c r="F14" s="17" t="n">
        <v>96.2</v>
      </c>
      <c r="G14" s="18" t="n">
        <v>101.1</v>
      </c>
      <c r="H14" s="18" t="n">
        <v>105.9</v>
      </c>
      <c r="I14" s="18" t="n">
        <v>110.7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36.7</v>
      </c>
      <c r="D16" s="17" t="n">
        <v>45.8</v>
      </c>
      <c r="E16" s="17" t="n">
        <v>55</v>
      </c>
      <c r="F16" s="17" t="n">
        <v>61.1</v>
      </c>
      <c r="G16" s="18" t="n">
        <v>58.7</v>
      </c>
      <c r="H16" s="18" t="n">
        <v>56.2</v>
      </c>
      <c r="I16" s="18" t="n">
        <v>53.8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133</v>
      </c>
      <c r="D20" s="15" t="n">
        <v>167.3</v>
      </c>
      <c r="E20" s="15" t="n">
        <v>188.8</v>
      </c>
      <c r="F20" s="15" t="n">
        <v>214.5</v>
      </c>
      <c r="G20" s="16" t="n">
        <v>236</v>
      </c>
      <c r="H20" s="16" t="n">
        <v>253.1</v>
      </c>
      <c r="I20" s="16" t="n">
        <v>268.1</v>
      </c>
    </row>
    <row r="21">
      <c r="B21" s="5" t="inlineStr">
        <is>
          <t>Capital Expenditures (Capex)</t>
        </is>
      </c>
      <c r="C21" s="17" t="n">
        <v>21.3</v>
      </c>
      <c r="D21" s="17" t="n">
        <v>25.8</v>
      </c>
      <c r="E21" s="17" t="n">
        <v>28.9</v>
      </c>
      <c r="F21" s="17" t="n">
        <v>30.4</v>
      </c>
      <c r="G21" s="18" t="n">
        <v>31.9</v>
      </c>
      <c r="H21" s="18" t="n">
        <v>31</v>
      </c>
      <c r="I21" s="18" t="n">
        <v>29.8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37.6</v>
      </c>
      <c r="D24" s="17" t="n">
        <v>47.9</v>
      </c>
      <c r="E24" s="17" t="n">
        <v>58.1</v>
      </c>
      <c r="F24" s="17" t="n">
        <v>68.40000000000001</v>
      </c>
      <c r="G24" s="18" t="n">
        <v>80.7</v>
      </c>
      <c r="H24" s="18" t="n">
        <v>92.3</v>
      </c>
      <c r="I24" s="18" t="n">
        <v>102.6</v>
      </c>
    </row>
    <row r="25">
      <c r="B25" s="14" t="inlineStr">
        <is>
          <t>Gross Debt (Loans + Eurobonds/Sukuk)</t>
        </is>
      </c>
      <c r="C25" s="15" t="n">
        <v>525.6</v>
      </c>
      <c r="D25" s="15" t="n">
        <v>568.9</v>
      </c>
      <c r="E25" s="15" t="n">
        <v>606</v>
      </c>
      <c r="F25" s="15" t="n">
        <v>618.4</v>
      </c>
      <c r="G25" s="16" t="n">
        <v>606</v>
      </c>
      <c r="H25" s="16" t="n">
        <v>587.5</v>
      </c>
      <c r="I25" s="16" t="n">
        <v>556.6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2026-09-19T17:13:40Z</dcterms:created>
  <dcterms:modified xmlns:dcterms="http://purl.org/dc/terms/" xmlns:xsi="http://www.w3.org/2001/XMLSchema-instance" xsi:type="dcterms:W3CDTF">2026-09-19T17:13:40Z</dcterms:modified>
</cp:coreProperties>
</file>
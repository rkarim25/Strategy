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Aydem Renewable</t>
        </is>
      </c>
    </row>
    <row r="3">
      <c r="B3" s="2" t="inlineStr">
        <is>
          <t>CEMBI CEEMEA Assessment | Country: Turkey | Sector: Utilities | Benchmark: AYDEM 8.95% 2027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$96.50 (8.95% YTM)</t>
        </is>
      </c>
      <c r="D6" s="4" t="inlineStr">
        <is>
          <t>B / B3 (+455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Run-of-River Hydro (62%), Reservoir Hydro (24%), Hybrid Wind &amp; Solar (14%)</t>
        </is>
      </c>
      <c r="D7" s="4" t="inlineStr">
        <is>
          <t>Recovery Floor</t>
        </is>
      </c>
      <c r="E7" s="5" t="inlineStr">
        <is>
          <t>$66.00 (Base $98.00)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$98.00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$82.00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$66.00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Aydem Renewable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176.8</v>
      </c>
      <c r="D7" s="15" t="n">
        <v>213.2</v>
      </c>
      <c r="E7" s="15" t="n">
        <v>239.2</v>
      </c>
      <c r="F7" s="15" t="n">
        <v>260</v>
      </c>
      <c r="G7" s="16" t="n">
        <v>280.8</v>
      </c>
      <c r="H7" s="16" t="n">
        <v>299</v>
      </c>
      <c r="I7" s="16" t="n">
        <v>312</v>
      </c>
    </row>
    <row r="8">
      <c r="B8" s="5" t="inlineStr">
        <is>
          <t>Cost of Goods Sold (COGS)</t>
        </is>
      </c>
      <c r="C8" s="17" t="n">
        <v>27.2</v>
      </c>
      <c r="D8" s="17" t="n">
        <v>33</v>
      </c>
      <c r="E8" s="17" t="n">
        <v>36.1</v>
      </c>
      <c r="F8" s="17" t="n">
        <v>38.8</v>
      </c>
      <c r="G8" s="18" t="n">
        <v>41.5</v>
      </c>
      <c r="H8" s="18" t="n">
        <v>43.8</v>
      </c>
      <c r="I8" s="18" t="n">
        <v>45.8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22.5</v>
      </c>
      <c r="D11" s="17" t="n">
        <v>25.6</v>
      </c>
      <c r="E11" s="17" t="n">
        <v>28.7</v>
      </c>
      <c r="F11" s="17" t="n">
        <v>31.2</v>
      </c>
      <c r="G11" s="18" t="n">
        <v>33.1</v>
      </c>
      <c r="H11" s="18" t="n">
        <v>34.9</v>
      </c>
      <c r="I11" s="18" t="n">
        <v>36.2</v>
      </c>
    </row>
    <row r="12">
      <c r="B12" s="14" t="inlineStr">
        <is>
          <t>EBITDA</t>
        </is>
      </c>
      <c r="C12" s="15" t="n">
        <v>123.5</v>
      </c>
      <c r="D12" s="15" t="n">
        <v>152</v>
      </c>
      <c r="E12" s="15" t="n">
        <v>171</v>
      </c>
      <c r="F12" s="15" t="n">
        <v>190</v>
      </c>
      <c r="G12" s="16" t="n">
        <v>209</v>
      </c>
      <c r="H12" s="16" t="n">
        <v>224.2</v>
      </c>
      <c r="I12" s="16" t="n">
        <v>235.6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53.2</v>
      </c>
      <c r="D14" s="17" t="n">
        <v>58.5</v>
      </c>
      <c r="E14" s="17" t="n">
        <v>63.2</v>
      </c>
      <c r="F14" s="17" t="n">
        <v>66.5</v>
      </c>
      <c r="G14" s="18" t="n">
        <v>69.8</v>
      </c>
      <c r="H14" s="18" t="n">
        <v>73.2</v>
      </c>
      <c r="I14" s="18" t="n">
        <v>76.5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25.3</v>
      </c>
      <c r="D16" s="17" t="n">
        <v>31.7</v>
      </c>
      <c r="E16" s="17" t="n">
        <v>38</v>
      </c>
      <c r="F16" s="17" t="n">
        <v>42.2</v>
      </c>
      <c r="G16" s="18" t="n">
        <v>40.5</v>
      </c>
      <c r="H16" s="18" t="n">
        <v>38.8</v>
      </c>
      <c r="I16" s="18" t="n">
        <v>37.2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91.90000000000001</v>
      </c>
      <c r="D20" s="15" t="n">
        <v>115.6</v>
      </c>
      <c r="E20" s="15" t="n">
        <v>130.4</v>
      </c>
      <c r="F20" s="15" t="n">
        <v>148.2</v>
      </c>
      <c r="G20" s="16" t="n">
        <v>163</v>
      </c>
      <c r="H20" s="16" t="n">
        <v>174.9</v>
      </c>
      <c r="I20" s="16" t="n">
        <v>185.3</v>
      </c>
    </row>
    <row r="21">
      <c r="B21" s="5" t="inlineStr">
        <is>
          <t>Capital Expenditures (Capex)</t>
        </is>
      </c>
      <c r="C21" s="17" t="n">
        <v>14.6</v>
      </c>
      <c r="D21" s="17" t="n">
        <v>17.7</v>
      </c>
      <c r="E21" s="17" t="n">
        <v>19.8</v>
      </c>
      <c r="F21" s="17" t="n">
        <v>20.8</v>
      </c>
      <c r="G21" s="18" t="n">
        <v>21.8</v>
      </c>
      <c r="H21" s="18" t="n">
        <v>21.2</v>
      </c>
      <c r="I21" s="18" t="n">
        <v>20.4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25.7</v>
      </c>
      <c r="D24" s="17" t="n">
        <v>32.8</v>
      </c>
      <c r="E24" s="17" t="n">
        <v>39.8</v>
      </c>
      <c r="F24" s="17" t="n">
        <v>46.8</v>
      </c>
      <c r="G24" s="18" t="n">
        <v>55.2</v>
      </c>
      <c r="H24" s="18" t="n">
        <v>63.2</v>
      </c>
      <c r="I24" s="18" t="n">
        <v>70.2</v>
      </c>
    </row>
    <row r="25">
      <c r="B25" s="14" t="inlineStr">
        <is>
          <t>Gross Debt (Loans + Eurobonds/Sukuk)</t>
        </is>
      </c>
      <c r="C25" s="15" t="n">
        <v>362.8</v>
      </c>
      <c r="D25" s="15" t="n">
        <v>392.7</v>
      </c>
      <c r="E25" s="15" t="n">
        <v>418.3</v>
      </c>
      <c r="F25" s="15" t="n">
        <v>426.8</v>
      </c>
      <c r="G25" s="16" t="n">
        <v>418.3</v>
      </c>
      <c r="H25" s="16" t="n">
        <v>405.5</v>
      </c>
      <c r="I25" s="16" t="n">
        <v>384.1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2026-09-19T17:13:41Z</dcterms:created>
  <dcterms:modified xmlns:dcterms="http://purl.org/dc/terms/" xmlns:xsi="http://www.w3.org/2001/XMLSchema-instance" xsi:type="dcterms:W3CDTF">2026-09-19T17:13:41Z</dcterms:modified>
</cp:coreProperties>
</file>
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Metinvest</t>
        </is>
      </c>
    </row>
    <row r="3">
      <c r="B3" s="2" t="inlineStr">
        <is>
          <t>CEMBI CEEMEA Assessment | Country: Ukraine | Sector: Materials | Benchmark: METINV 15.65%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$76.00 (15.65% YTM)</t>
        </is>
      </c>
      <c r="D6" s="4" t="inlineStr">
        <is>
          <t>CCC+ / Caa3 (+1125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High-Grade Iron Ore Pellets (Kryvyi Rih: 58%), Semi-Finished &amp; Finished Steel (32%), US Coking Coal (10%)</t>
        </is>
      </c>
      <c r="D7" s="4" t="inlineStr">
        <is>
          <t>Recovery Floor</t>
        </is>
      </c>
      <c r="E7" s="5" t="inlineStr">
        <is>
          <t>$45.00 (Base $86.00)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$86.00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$65.50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$45.00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Metinvest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5168</v>
      </c>
      <c r="D7" s="15" t="n">
        <v>6232</v>
      </c>
      <c r="E7" s="15" t="n">
        <v>6992</v>
      </c>
      <c r="F7" s="15" t="n">
        <v>7600</v>
      </c>
      <c r="G7" s="16" t="n">
        <v>8208</v>
      </c>
      <c r="H7" s="16" t="n">
        <v>8740</v>
      </c>
      <c r="I7" s="16" t="n">
        <v>9120</v>
      </c>
    </row>
    <row r="8">
      <c r="B8" s="5" t="inlineStr">
        <is>
          <t>Cost of Goods Sold (COGS)</t>
        </is>
      </c>
      <c r="C8" s="17" t="n">
        <v>3085.6</v>
      </c>
      <c r="D8" s="17" t="n">
        <v>3746.8</v>
      </c>
      <c r="E8" s="17" t="n">
        <v>4099.4</v>
      </c>
      <c r="F8" s="17" t="n">
        <v>4408</v>
      </c>
      <c r="G8" s="18" t="n">
        <v>4716.6</v>
      </c>
      <c r="H8" s="18" t="n">
        <v>4981</v>
      </c>
      <c r="I8" s="18" t="n">
        <v>5201.4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1635.8</v>
      </c>
      <c r="D11" s="17" t="n">
        <v>1863</v>
      </c>
      <c r="E11" s="17" t="n">
        <v>2090.2</v>
      </c>
      <c r="F11" s="17" t="n">
        <v>2272</v>
      </c>
      <c r="G11" s="18" t="n">
        <v>2408.3</v>
      </c>
      <c r="H11" s="18" t="n">
        <v>2544.6</v>
      </c>
      <c r="I11" s="18" t="n">
        <v>2635.5</v>
      </c>
    </row>
    <row r="12">
      <c r="B12" s="14" t="inlineStr">
        <is>
          <t>EBITDA</t>
        </is>
      </c>
      <c r="C12" s="15" t="n">
        <v>598</v>
      </c>
      <c r="D12" s="15" t="n">
        <v>736</v>
      </c>
      <c r="E12" s="15" t="n">
        <v>828</v>
      </c>
      <c r="F12" s="15" t="n">
        <v>920</v>
      </c>
      <c r="G12" s="16" t="n">
        <v>1012</v>
      </c>
      <c r="H12" s="16" t="n">
        <v>1085.6</v>
      </c>
      <c r="I12" s="16" t="n">
        <v>1140.8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257.6</v>
      </c>
      <c r="D14" s="17" t="n">
        <v>283.4</v>
      </c>
      <c r="E14" s="17" t="n">
        <v>305.9</v>
      </c>
      <c r="F14" s="17" t="n">
        <v>322</v>
      </c>
      <c r="G14" s="18" t="n">
        <v>338.1</v>
      </c>
      <c r="H14" s="18" t="n">
        <v>354.2</v>
      </c>
      <c r="I14" s="18" t="n">
        <v>370.3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122.7</v>
      </c>
      <c r="D16" s="17" t="n">
        <v>153.3</v>
      </c>
      <c r="E16" s="17" t="n">
        <v>184</v>
      </c>
      <c r="F16" s="17" t="n">
        <v>204.4</v>
      </c>
      <c r="G16" s="18" t="n">
        <v>196.3</v>
      </c>
      <c r="H16" s="18" t="n">
        <v>188.1</v>
      </c>
      <c r="I16" s="18" t="n">
        <v>179.9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444.9</v>
      </c>
      <c r="D20" s="15" t="n">
        <v>559.7</v>
      </c>
      <c r="E20" s="15" t="n">
        <v>631.5</v>
      </c>
      <c r="F20" s="15" t="n">
        <v>717.6</v>
      </c>
      <c r="G20" s="16" t="n">
        <v>789.4</v>
      </c>
      <c r="H20" s="16" t="n">
        <v>846.8</v>
      </c>
      <c r="I20" s="16" t="n">
        <v>897</v>
      </c>
    </row>
    <row r="21">
      <c r="B21" s="5" t="inlineStr">
        <is>
          <t>Capital Expenditures (Capex)</t>
        </is>
      </c>
      <c r="C21" s="17" t="n">
        <v>425.6</v>
      </c>
      <c r="D21" s="17" t="n">
        <v>516.8</v>
      </c>
      <c r="E21" s="17" t="n">
        <v>577.6</v>
      </c>
      <c r="F21" s="17" t="n">
        <v>608</v>
      </c>
      <c r="G21" s="18" t="n">
        <v>638.4</v>
      </c>
      <c r="H21" s="18" t="n">
        <v>620.2</v>
      </c>
      <c r="I21" s="18" t="n">
        <v>595.8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752.4</v>
      </c>
      <c r="D24" s="17" t="n">
        <v>957.6</v>
      </c>
      <c r="E24" s="17" t="n">
        <v>1162.8</v>
      </c>
      <c r="F24" s="17" t="n">
        <v>1368</v>
      </c>
      <c r="G24" s="18" t="n">
        <v>1614.2</v>
      </c>
      <c r="H24" s="18" t="n">
        <v>1846.8</v>
      </c>
      <c r="I24" s="18" t="n">
        <v>2052</v>
      </c>
    </row>
    <row r="25">
      <c r="B25" s="14" t="inlineStr">
        <is>
          <t>Gross Debt (Loans + Eurobonds/Sukuk)</t>
        </is>
      </c>
      <c r="C25" s="15" t="n">
        <v>2726.8</v>
      </c>
      <c r="D25" s="15" t="n">
        <v>2951.4</v>
      </c>
      <c r="E25" s="15" t="n">
        <v>3143.8</v>
      </c>
      <c r="F25" s="15" t="n">
        <v>3208</v>
      </c>
      <c r="G25" s="16" t="n">
        <v>3143.8</v>
      </c>
      <c r="H25" s="16" t="n">
        <v>3047.6</v>
      </c>
      <c r="I25" s="16" t="n">
        <v>2887.2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2026-09-19T17:13:44Z</dcterms:created>
  <dcterms:modified xmlns:dcterms="http://purl.org/dc/terms/" xmlns:xsi="http://www.w3.org/2001/XMLSchema-instance" xsi:type="dcterms:W3CDTF">2026-09-19T17:13:44Z</dcterms:modified>
</cp:coreProperties>
</file>
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Tharisa plc</t>
        </is>
      </c>
    </row>
    <row r="3">
      <c r="B3" s="2" t="inlineStr">
        <is>
          <t>CEMBI CEEMEA Assessment | Country: South Africa | Sector: Materials | Benchmark: THARISA 9.85%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$98.00 (9.85% YTM)</t>
        </is>
      </c>
      <c r="D6" s="4" t="inlineStr">
        <is>
          <t>BB- / Ba3 Implied (+550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Chrome Concentrates (Stainless Steel: 64%), PGM Concentrates (Pt/Pd/Rh: 36%)</t>
        </is>
      </c>
      <c r="D7" s="4" t="inlineStr">
        <is>
          <t>Recovery Floor</t>
        </is>
      </c>
      <c r="E7" s="5" t="inlineStr">
        <is>
          <t>$70.00 (Base $99.00)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$99.00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$84.50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Tharisa plc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482.8</v>
      </c>
      <c r="D7" s="15" t="n">
        <v>582.2</v>
      </c>
      <c r="E7" s="15" t="n">
        <v>653.2</v>
      </c>
      <c r="F7" s="15" t="n">
        <v>710</v>
      </c>
      <c r="G7" s="16" t="n">
        <v>766.8</v>
      </c>
      <c r="H7" s="16" t="n">
        <v>816.5</v>
      </c>
      <c r="I7" s="16" t="n">
        <v>852</v>
      </c>
    </row>
    <row r="8">
      <c r="B8" s="5" t="inlineStr">
        <is>
          <t>Cost of Goods Sold (COGS)</t>
        </is>
      </c>
      <c r="C8" s="17" t="n">
        <v>288.3</v>
      </c>
      <c r="D8" s="17" t="n">
        <v>350</v>
      </c>
      <c r="E8" s="17" t="n">
        <v>383</v>
      </c>
      <c r="F8" s="17" t="n">
        <v>411.8</v>
      </c>
      <c r="G8" s="18" t="n">
        <v>440.6</v>
      </c>
      <c r="H8" s="18" t="n">
        <v>465.3</v>
      </c>
      <c r="I8" s="18" t="n">
        <v>485.9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81.5</v>
      </c>
      <c r="D11" s="17" t="n">
        <v>92.8</v>
      </c>
      <c r="E11" s="17" t="n">
        <v>104.1</v>
      </c>
      <c r="F11" s="17" t="n">
        <v>113.2</v>
      </c>
      <c r="G11" s="18" t="n">
        <v>120</v>
      </c>
      <c r="H11" s="18" t="n">
        <v>126.8</v>
      </c>
      <c r="I11" s="18" t="n">
        <v>131.3</v>
      </c>
    </row>
    <row r="12">
      <c r="B12" s="14" t="inlineStr">
        <is>
          <t>EBITDA</t>
        </is>
      </c>
      <c r="C12" s="15" t="n">
        <v>120.2</v>
      </c>
      <c r="D12" s="15" t="n">
        <v>148</v>
      </c>
      <c r="E12" s="15" t="n">
        <v>166.5</v>
      </c>
      <c r="F12" s="15" t="n">
        <v>185</v>
      </c>
      <c r="G12" s="16" t="n">
        <v>203.5</v>
      </c>
      <c r="H12" s="16" t="n">
        <v>218.3</v>
      </c>
      <c r="I12" s="16" t="n">
        <v>229.4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51.8</v>
      </c>
      <c r="D14" s="17" t="n">
        <v>57</v>
      </c>
      <c r="E14" s="17" t="n">
        <v>61.5</v>
      </c>
      <c r="F14" s="17" t="n">
        <v>64.8</v>
      </c>
      <c r="G14" s="18" t="n">
        <v>68</v>
      </c>
      <c r="H14" s="18" t="n">
        <v>71.2</v>
      </c>
      <c r="I14" s="18" t="n">
        <v>74.5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24.7</v>
      </c>
      <c r="D16" s="17" t="n">
        <v>30.8</v>
      </c>
      <c r="E16" s="17" t="n">
        <v>37</v>
      </c>
      <c r="F16" s="17" t="n">
        <v>41.1</v>
      </c>
      <c r="G16" s="18" t="n">
        <v>39.5</v>
      </c>
      <c r="H16" s="18" t="n">
        <v>37.8</v>
      </c>
      <c r="I16" s="18" t="n">
        <v>36.2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89.5</v>
      </c>
      <c r="D20" s="15" t="n">
        <v>112.6</v>
      </c>
      <c r="E20" s="15" t="n">
        <v>127</v>
      </c>
      <c r="F20" s="15" t="n">
        <v>144.3</v>
      </c>
      <c r="G20" s="16" t="n">
        <v>158.7</v>
      </c>
      <c r="H20" s="16" t="n">
        <v>170.3</v>
      </c>
      <c r="I20" s="16" t="n">
        <v>180.4</v>
      </c>
    </row>
    <row r="21">
      <c r="B21" s="5" t="inlineStr">
        <is>
          <t>Capital Expenditures (Capex)</t>
        </is>
      </c>
      <c r="C21" s="17" t="n">
        <v>39.8</v>
      </c>
      <c r="D21" s="17" t="n">
        <v>48.3</v>
      </c>
      <c r="E21" s="17" t="n">
        <v>54</v>
      </c>
      <c r="F21" s="17" t="n">
        <v>56.8</v>
      </c>
      <c r="G21" s="18" t="n">
        <v>59.6</v>
      </c>
      <c r="H21" s="18" t="n">
        <v>57.9</v>
      </c>
      <c r="I21" s="18" t="n">
        <v>55.7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70.3</v>
      </c>
      <c r="D24" s="17" t="n">
        <v>89.5</v>
      </c>
      <c r="E24" s="17" t="n">
        <v>108.6</v>
      </c>
      <c r="F24" s="17" t="n">
        <v>127.8</v>
      </c>
      <c r="G24" s="18" t="n">
        <v>150.8</v>
      </c>
      <c r="H24" s="18" t="n">
        <v>172.5</v>
      </c>
      <c r="I24" s="18" t="n">
        <v>191.7</v>
      </c>
    </row>
    <row r="25">
      <c r="B25" s="14" t="inlineStr">
        <is>
          <t>Gross Debt (Loans + Eurobonds/Sukuk)</t>
        </is>
      </c>
      <c r="C25" s="15" t="n">
        <v>423.1</v>
      </c>
      <c r="D25" s="15" t="n">
        <v>458</v>
      </c>
      <c r="E25" s="15" t="n">
        <v>487.8</v>
      </c>
      <c r="F25" s="15" t="n">
        <v>497.8</v>
      </c>
      <c r="G25" s="16" t="n">
        <v>487.8</v>
      </c>
      <c r="H25" s="16" t="n">
        <v>472.9</v>
      </c>
      <c r="I25" s="16" t="n">
        <v>448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
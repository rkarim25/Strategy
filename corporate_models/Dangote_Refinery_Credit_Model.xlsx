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Dangote Refinery</t>
        </is>
      </c>
    </row>
    <row r="3">
      <c r="B3" s="2" t="inlineStr">
        <is>
          <t>CEMBI CEEMEA Assessment | Country: Nigeria | Sector: Energy | Benchmark: DANREF 12.50% 2029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$95.00 (12.50% YTM)</t>
        </is>
      </c>
      <c r="D6" s="4" t="inlineStr">
        <is>
          <t>B / B2 (+815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Gasoline Euro-V PMS (52%), Diesel &amp; Gasoil (28%), Jet A-1 Fuel (12%), Polypropylene (8%)</t>
        </is>
      </c>
      <c r="D7" s="4" t="inlineStr">
        <is>
          <t>Recovery Floor</t>
        </is>
      </c>
      <c r="E7" s="5" t="inlineStr">
        <is>
          <t>$68.00 (Base $102.00)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$102.00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$85.00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$68.00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Dangote Refinery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680</v>
      </c>
      <c r="D7" s="15" t="n">
        <v>820</v>
      </c>
      <c r="E7" s="15" t="n">
        <v>920</v>
      </c>
      <c r="F7" s="15" t="n">
        <v>1000</v>
      </c>
      <c r="G7" s="16" t="n">
        <v>1080</v>
      </c>
      <c r="H7" s="16" t="n">
        <v>1150</v>
      </c>
      <c r="I7" s="16" t="n">
        <v>1200</v>
      </c>
    </row>
    <row r="8">
      <c r="B8" s="5" t="inlineStr">
        <is>
          <t>Cost of Goods Sold (COGS)</t>
        </is>
      </c>
      <c r="C8" s="17" t="n">
        <v>406</v>
      </c>
      <c r="D8" s="17" t="n">
        <v>493</v>
      </c>
      <c r="E8" s="17" t="n">
        <v>539.4</v>
      </c>
      <c r="F8" s="17" t="n">
        <v>580</v>
      </c>
      <c r="G8" s="18" t="n">
        <v>620.6</v>
      </c>
      <c r="H8" s="18" t="n">
        <v>655.4</v>
      </c>
      <c r="I8" s="18" t="n">
        <v>684.4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86.40000000000001</v>
      </c>
      <c r="D11" s="17" t="n">
        <v>98.40000000000001</v>
      </c>
      <c r="E11" s="17" t="n">
        <v>110.4</v>
      </c>
      <c r="F11" s="17" t="n">
        <v>120</v>
      </c>
      <c r="G11" s="18" t="n">
        <v>127.2</v>
      </c>
      <c r="H11" s="18" t="n">
        <v>134.4</v>
      </c>
      <c r="I11" s="18" t="n">
        <v>139.2</v>
      </c>
    </row>
    <row r="12">
      <c r="B12" s="14" t="inlineStr">
        <is>
          <t>EBITDA</t>
        </is>
      </c>
      <c r="C12" s="15" t="n">
        <v>195</v>
      </c>
      <c r="D12" s="15" t="n">
        <v>240</v>
      </c>
      <c r="E12" s="15" t="n">
        <v>270</v>
      </c>
      <c r="F12" s="15" t="n">
        <v>300</v>
      </c>
      <c r="G12" s="16" t="n">
        <v>330</v>
      </c>
      <c r="H12" s="16" t="n">
        <v>354</v>
      </c>
      <c r="I12" s="16" t="n">
        <v>372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84</v>
      </c>
      <c r="D14" s="17" t="n">
        <v>92.40000000000001</v>
      </c>
      <c r="E14" s="17" t="n">
        <v>99.8</v>
      </c>
      <c r="F14" s="17" t="n">
        <v>105</v>
      </c>
      <c r="G14" s="18" t="n">
        <v>110.2</v>
      </c>
      <c r="H14" s="18" t="n">
        <v>115.5</v>
      </c>
      <c r="I14" s="18" t="n">
        <v>120.7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40</v>
      </c>
      <c r="D16" s="17" t="n">
        <v>50</v>
      </c>
      <c r="E16" s="17" t="n">
        <v>60</v>
      </c>
      <c r="F16" s="17" t="n">
        <v>66.7</v>
      </c>
      <c r="G16" s="18" t="n">
        <v>64</v>
      </c>
      <c r="H16" s="18" t="n">
        <v>61.3</v>
      </c>
      <c r="I16" s="18" t="n">
        <v>58.7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145.1</v>
      </c>
      <c r="D20" s="15" t="n">
        <v>182.5</v>
      </c>
      <c r="E20" s="15" t="n">
        <v>205.9</v>
      </c>
      <c r="F20" s="15" t="n">
        <v>234</v>
      </c>
      <c r="G20" s="16" t="n">
        <v>257.4</v>
      </c>
      <c r="H20" s="16" t="n">
        <v>276.1</v>
      </c>
      <c r="I20" s="16" t="n">
        <v>292.5</v>
      </c>
    </row>
    <row r="21">
      <c r="B21" s="5" t="inlineStr">
        <is>
          <t>Capital Expenditures (Capex)</t>
        </is>
      </c>
      <c r="C21" s="17" t="n">
        <v>56</v>
      </c>
      <c r="D21" s="17" t="n">
        <v>68</v>
      </c>
      <c r="E21" s="17" t="n">
        <v>76</v>
      </c>
      <c r="F21" s="17" t="n">
        <v>80</v>
      </c>
      <c r="G21" s="18" t="n">
        <v>84</v>
      </c>
      <c r="H21" s="18" t="n">
        <v>81.59999999999999</v>
      </c>
      <c r="I21" s="18" t="n">
        <v>78.40000000000001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99</v>
      </c>
      <c r="D24" s="17" t="n">
        <v>126</v>
      </c>
      <c r="E24" s="17" t="n">
        <v>153</v>
      </c>
      <c r="F24" s="17" t="n">
        <v>180</v>
      </c>
      <c r="G24" s="18" t="n">
        <v>212.4</v>
      </c>
      <c r="H24" s="18" t="n">
        <v>243</v>
      </c>
      <c r="I24" s="18" t="n">
        <v>270</v>
      </c>
    </row>
    <row r="25">
      <c r="B25" s="14" t="inlineStr">
        <is>
          <t>Gross Debt (Loans + Eurobonds/Sukuk)</t>
        </is>
      </c>
      <c r="C25" s="15" t="n">
        <v>663</v>
      </c>
      <c r="D25" s="15" t="n">
        <v>717.6</v>
      </c>
      <c r="E25" s="15" t="n">
        <v>764.4</v>
      </c>
      <c r="F25" s="15" t="n">
        <v>780</v>
      </c>
      <c r="G25" s="16" t="n">
        <v>764.4</v>
      </c>
      <c r="H25" s="16" t="n">
        <v>741</v>
      </c>
      <c r="I25" s="16" t="n">
        <v>702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2026-09-19T17:13:43Z</dcterms:modified>
</cp:coreProperties>
</file>
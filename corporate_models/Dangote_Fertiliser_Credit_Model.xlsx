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Dangote Fertiliser</t>
        </is>
      </c>
    </row>
    <row r="3">
      <c r="B3" s="2" t="inlineStr">
        <is>
          <t>CEMBI CEEMEA Assessment | Country: Nigeria | Sector: Materials | Benchmark: DANFER 11.50% 2028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$96.00 (11.50% YTM)</t>
        </is>
      </c>
      <c r="D6" s="4" t="inlineStr">
        <is>
          <t>B / B2 (+715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Granular Urea International Exports (72%), Domestic Nigerian Fertilizer (28%)</t>
        </is>
      </c>
      <c r="D7" s="4" t="inlineStr">
        <is>
          <t>Recovery Floor</t>
        </is>
      </c>
      <c r="E7" s="5" t="inlineStr">
        <is>
          <t>$60.00 (Base $98.00)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$98.00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$79.00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Dangote Fertiliser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952</v>
      </c>
      <c r="D7" s="15" t="n">
        <v>1148</v>
      </c>
      <c r="E7" s="15" t="n">
        <v>1288</v>
      </c>
      <c r="F7" s="15" t="n">
        <v>1400</v>
      </c>
      <c r="G7" s="16" t="n">
        <v>1512</v>
      </c>
      <c r="H7" s="16" t="n">
        <v>1610</v>
      </c>
      <c r="I7" s="16" t="n">
        <v>1680</v>
      </c>
    </row>
    <row r="8">
      <c r="B8" s="5" t="inlineStr">
        <is>
          <t>Cost of Goods Sold (COGS)</t>
        </is>
      </c>
      <c r="C8" s="17" t="n">
        <v>407.4</v>
      </c>
      <c r="D8" s="17" t="n">
        <v>494.7</v>
      </c>
      <c r="E8" s="17" t="n">
        <v>541.3</v>
      </c>
      <c r="F8" s="17" t="n">
        <v>582</v>
      </c>
      <c r="G8" s="18" t="n">
        <v>622.7</v>
      </c>
      <c r="H8" s="18" t="n">
        <v>657.7</v>
      </c>
      <c r="I8" s="18" t="n">
        <v>686.8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121</v>
      </c>
      <c r="D11" s="17" t="n">
        <v>137.8</v>
      </c>
      <c r="E11" s="17" t="n">
        <v>154.6</v>
      </c>
      <c r="F11" s="17" t="n">
        <v>168</v>
      </c>
      <c r="G11" s="18" t="n">
        <v>178.1</v>
      </c>
      <c r="H11" s="18" t="n">
        <v>188.2</v>
      </c>
      <c r="I11" s="18" t="n">
        <v>194.9</v>
      </c>
    </row>
    <row r="12">
      <c r="B12" s="14" t="inlineStr">
        <is>
          <t>EBITDA</t>
        </is>
      </c>
      <c r="C12" s="15" t="n">
        <v>422.5</v>
      </c>
      <c r="D12" s="15" t="n">
        <v>520</v>
      </c>
      <c r="E12" s="15" t="n">
        <v>585</v>
      </c>
      <c r="F12" s="15" t="n">
        <v>650</v>
      </c>
      <c r="G12" s="16" t="n">
        <v>715</v>
      </c>
      <c r="H12" s="16" t="n">
        <v>767</v>
      </c>
      <c r="I12" s="16" t="n">
        <v>806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182</v>
      </c>
      <c r="D14" s="17" t="n">
        <v>200.2</v>
      </c>
      <c r="E14" s="17" t="n">
        <v>216.1</v>
      </c>
      <c r="F14" s="17" t="n">
        <v>227.5</v>
      </c>
      <c r="G14" s="18" t="n">
        <v>238.9</v>
      </c>
      <c r="H14" s="18" t="n">
        <v>250.2</v>
      </c>
      <c r="I14" s="18" t="n">
        <v>261.6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86.7</v>
      </c>
      <c r="D16" s="17" t="n">
        <v>108.3</v>
      </c>
      <c r="E16" s="17" t="n">
        <v>130</v>
      </c>
      <c r="F16" s="17" t="n">
        <v>144.4</v>
      </c>
      <c r="G16" s="18" t="n">
        <v>138.7</v>
      </c>
      <c r="H16" s="18" t="n">
        <v>132.9</v>
      </c>
      <c r="I16" s="18" t="n">
        <v>127.1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314.3</v>
      </c>
      <c r="D20" s="15" t="n">
        <v>395.5</v>
      </c>
      <c r="E20" s="15" t="n">
        <v>446.2</v>
      </c>
      <c r="F20" s="15" t="n">
        <v>507</v>
      </c>
      <c r="G20" s="16" t="n">
        <v>557.7</v>
      </c>
      <c r="H20" s="16" t="n">
        <v>598.3</v>
      </c>
      <c r="I20" s="16" t="n">
        <v>633.8</v>
      </c>
    </row>
    <row r="21">
      <c r="B21" s="5" t="inlineStr">
        <is>
          <t>Capital Expenditures (Capex)</t>
        </is>
      </c>
      <c r="C21" s="17" t="n">
        <v>78.40000000000001</v>
      </c>
      <c r="D21" s="17" t="n">
        <v>95.2</v>
      </c>
      <c r="E21" s="17" t="n">
        <v>106.4</v>
      </c>
      <c r="F21" s="17" t="n">
        <v>112</v>
      </c>
      <c r="G21" s="18" t="n">
        <v>117.6</v>
      </c>
      <c r="H21" s="18" t="n">
        <v>114.2</v>
      </c>
      <c r="I21" s="18" t="n">
        <v>109.8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138.6</v>
      </c>
      <c r="D24" s="17" t="n">
        <v>176.4</v>
      </c>
      <c r="E24" s="17" t="n">
        <v>214.2</v>
      </c>
      <c r="F24" s="17" t="n">
        <v>252</v>
      </c>
      <c r="G24" s="18" t="n">
        <v>297.4</v>
      </c>
      <c r="H24" s="18" t="n">
        <v>340.2</v>
      </c>
      <c r="I24" s="18" t="n">
        <v>378</v>
      </c>
    </row>
    <row r="25">
      <c r="B25" s="14" t="inlineStr">
        <is>
          <t>Gross Debt (Loans + Eurobonds/Sukuk)</t>
        </is>
      </c>
      <c r="C25" s="15" t="n">
        <v>1319.2</v>
      </c>
      <c r="D25" s="15" t="n">
        <v>1427.8</v>
      </c>
      <c r="E25" s="15" t="n">
        <v>1521</v>
      </c>
      <c r="F25" s="15" t="n">
        <v>1552</v>
      </c>
      <c r="G25" s="16" t="n">
        <v>1521</v>
      </c>
      <c r="H25" s="16" t="n">
        <v>1474.4</v>
      </c>
      <c r="I25" s="16" t="n">
        <v>1396.8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2026-09-19T17:13:42Z</dcterms:created>
  <dcterms:modified xmlns:dcterms="http://purl.org/dc/terms/" xmlns:xsi="http://www.w3.org/2001/XMLSchema-instance" xsi:type="dcterms:W3CDTF">2026-09-19T17:13:42Z</dcterms:modified>
</cp:coreProperties>
</file>
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Debt Schedule &amp;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  <xf numFmtId="0" fontId="5" fillId="3" borderId="2" pivotButton="0" quotePrefix="0" xfId="0"/>
    <xf numFmtId="165" fontId="5" fillId="3" borderId="2" pivotButton="0" quotePrefix="0" xfId="0"/>
    <xf numFmtId="0" fontId="3" fillId="2" borderId="0" pivotButton="0" quotePrefix="0" xfId="0"/>
    <xf numFmtId="165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Azule Energy Holdings (BP-Eni JV)</t>
        </is>
      </c>
    </row>
    <row r="3">
      <c r="B3" s="2" t="inlineStr">
        <is>
          <t>CEMBI CEEMEA High-Yield Credit Assessment | Country: Angola | Sector: Energy / Offshore Oil &amp; Gas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</t>
        </is>
      </c>
      <c r="C6" s="5" t="inlineStr">
        <is>
          <t>AZULE 8.25% 2030 USD Private / CEMBI Proxy</t>
        </is>
      </c>
      <c r="D6" s="4" t="inlineStr">
        <is>
          <t>S&amp;P / Moody's</t>
        </is>
      </c>
      <c r="E6" s="5" t="inlineStr">
        <is>
          <t>B+ / Ba3 (Fitch/Moody's)</t>
        </is>
      </c>
    </row>
    <row r="7">
      <c r="B7" s="4" t="inlineStr">
        <is>
          <t>Clean Price</t>
        </is>
      </c>
      <c r="C7" s="6" t="n">
        <v>98.5</v>
      </c>
      <c r="D7" s="4" t="inlineStr">
        <is>
          <t>Recommendation</t>
        </is>
      </c>
      <c r="E7" s="7" t="inlineStr">
        <is>
          <t>Overweight / High Conviction</t>
        </is>
      </c>
    </row>
    <row r="8">
      <c r="B8" s="4" t="inlineStr">
        <is>
          <t>Yield to Maturity (YTM)</t>
        </is>
      </c>
      <c r="C8" s="8" t="n">
        <v>0.08450000000000001</v>
      </c>
      <c r="D8" s="4" t="inlineStr">
        <is>
          <t>Z-Spread</t>
        </is>
      </c>
      <c r="E8" s="5" t="inlineStr">
        <is>
          <t>+410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</t>
        </is>
      </c>
      <c r="C11" s="10" t="n">
        <v>3400</v>
      </c>
      <c r="D11" s="10">
        <f>C11*0.80</f>
        <v/>
      </c>
      <c r="E11" s="11" t="inlineStr">
        <is>
          <t>Top-line revenue under baseline vs macro stress</t>
        </is>
      </c>
    </row>
    <row r="12">
      <c r="B12" s="9" t="inlineStr">
        <is>
          <t>EBITDA</t>
        </is>
      </c>
      <c r="C12" s="10" t="n">
        <v>2250</v>
      </c>
      <c r="D12" s="10">
        <f>C12*0.75</f>
        <v/>
      </c>
      <c r="E12" s="11" t="inlineStr">
        <is>
          <t>Margin: 66.2% of revenue</t>
        </is>
      </c>
    </row>
    <row r="13">
      <c r="B13" s="9" t="inlineStr">
        <is>
          <t>Capital Expenditures (Capex)</t>
        </is>
      </c>
      <c r="C13" s="10" t="n">
        <v>1100</v>
      </c>
      <c r="D13" s="10">
        <f>C13*0.85</f>
        <v/>
      </c>
      <c r="E13" s="11" t="inlineStr">
        <is>
          <t>Maintenance and growth capital outlays</t>
        </is>
      </c>
    </row>
    <row r="14">
      <c r="B14" s="9" t="inlineStr">
        <is>
          <t>Free Cash Flow (FCF)</t>
        </is>
      </c>
      <c r="C14" s="10">
        <f>C12-C13-C16</f>
        <v/>
      </c>
      <c r="D14" s="10">
        <f>D12-D13-D16</f>
        <v/>
      </c>
      <c r="E14" s="11" t="inlineStr">
        <is>
          <t>Operating FCF after interest and capex</t>
        </is>
      </c>
    </row>
    <row r="15">
      <c r="B15" s="9" t="inlineStr">
        <is>
          <t>Cash &amp; Equivalents</t>
        </is>
      </c>
      <c r="C15" s="10" t="n">
        <v>650</v>
      </c>
      <c r="D15" s="10">
        <f>C15*0.90</f>
        <v/>
      </c>
      <c r="E15" s="11" t="inlineStr">
        <is>
          <t>Unrestricted liquid reserves</t>
        </is>
      </c>
    </row>
    <row r="16">
      <c r="B16" s="9" t="inlineStr">
        <is>
          <t>Annual Interest Expense</t>
        </is>
      </c>
      <c r="C16" s="10" t="n">
        <v>330</v>
      </c>
      <c r="D16" s="10">
        <f>C16</f>
        <v/>
      </c>
      <c r="E16" s="11" t="inlineStr">
        <is>
          <t>Debt servicing debt load</t>
        </is>
      </c>
    </row>
    <row r="17">
      <c r="B17" s="9" t="inlineStr">
        <is>
          <t>Gross Debt</t>
        </is>
      </c>
      <c r="C17" s="10" t="n">
        <v>4200</v>
      </c>
      <c r="D17" s="10">
        <f>C17</f>
        <v/>
      </c>
      <c r="E17" s="11" t="inlineStr">
        <is>
          <t>Total outstanding bank debt &amp; Eurobonds</t>
        </is>
      </c>
    </row>
    <row r="18">
      <c r="B18" s="9" t="inlineStr">
        <is>
          <t>Net Debt</t>
        </is>
      </c>
      <c r="C18" s="10">
        <f>C17-C15</f>
        <v/>
      </c>
      <c r="D18" s="10">
        <f>D17-D15</f>
        <v/>
      </c>
      <c r="E18" s="11" t="inlineStr">
        <is>
          <t>Gross Debt minus liquid cash</t>
        </is>
      </c>
    </row>
    <row r="19">
      <c r="B19" s="9" t="inlineStr">
        <is>
          <t>Net Debt / EBITDA (Leverage)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EBITDA / Interest (Coverage)</t>
        </is>
      </c>
      <c r="C20" s="13">
        <f>C12/C16</f>
        <v/>
      </c>
      <c r="D20" s="13">
        <f>D12/D16</f>
        <v/>
      </c>
      <c r="E20" s="11" t="inlineStr">
        <is>
          <t>Debt service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Full Capacity)</t>
        </is>
      </c>
      <c r="C23" s="10" t="n">
        <v>8625</v>
      </c>
      <c r="D23" s="5" t="inlineStr">
        <is>
          <t>100%</t>
        </is>
      </c>
      <c r="E23" s="15" t="n">
        <v>104</v>
      </c>
    </row>
    <row r="24">
      <c r="B24" s="5" t="inlineStr">
        <is>
          <t>Base Case (Through-the-Cycle Multiple)</t>
        </is>
      </c>
      <c r="C24" s="10" t="n">
        <v>7500</v>
      </c>
      <c r="D24" s="5" t="inlineStr">
        <is>
          <t>100%</t>
        </is>
      </c>
      <c r="E24" s="15" t="n">
        <v>101</v>
      </c>
    </row>
    <row r="25">
      <c r="B25" s="5" t="inlineStr">
        <is>
          <t>Downside Stress Case (Trough EBITDA)</t>
        </is>
      </c>
      <c r="C25" s="10" t="n">
        <v>5250</v>
      </c>
      <c r="D25" s="5" t="inlineStr">
        <is>
          <t>100%</t>
        </is>
      </c>
      <c r="E25" s="15" t="n">
        <v>86</v>
      </c>
    </row>
    <row r="26">
      <c r="B26" s="16" t="inlineStr">
        <is>
          <t>Liquidation Floor (Hard Asset Collateral)</t>
        </is>
      </c>
      <c r="C26" s="17" t="n">
        <v>3750</v>
      </c>
      <c r="D26" s="16" t="inlineStr">
        <is>
          <t>Full Collateral Backing</t>
        </is>
      </c>
      <c r="E26" s="18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2">
      <c r="B2" s="1" t="inlineStr">
        <is>
          <t>Azule Energy Holdings (BP-Eni JV) — Debt Waterfall &amp; Sensitivity Matrix</t>
        </is>
      </c>
    </row>
    <row r="4">
      <c r="B4" s="3" t="inlineStr">
        <is>
          <t>CAPITAL STRUCTURE TRANCHE</t>
        </is>
      </c>
      <c r="C4" s="3" t="inlineStr">
        <is>
          <t>AMOUNT (USD M)</t>
        </is>
      </c>
      <c r="D4" s="3" t="inlineStr">
        <is>
          <t>COUPON / SPREAD</t>
        </is>
      </c>
      <c r="E4" s="3" t="inlineStr">
        <is>
          <t>MATURITY</t>
        </is>
      </c>
      <c r="F4" s="3" t="inlineStr">
        <is>
          <t>SENIORITY / SECURITY</t>
        </is>
      </c>
    </row>
    <row r="5">
      <c r="B5" s="5" t="inlineStr">
        <is>
          <t>Cash &amp; Liquidity</t>
        </is>
      </c>
      <c r="C5" s="10" t="n">
        <v>650</v>
      </c>
      <c r="D5" s="5" t="inlineStr">
        <is>
          <t>SOFR + 50 bp</t>
        </is>
      </c>
      <c r="E5" s="5" t="inlineStr">
        <is>
          <t>Immediate</t>
        </is>
      </c>
      <c r="F5" s="5" t="inlineStr">
        <is>
          <t>Unencumbered Liquidity</t>
        </is>
      </c>
    </row>
    <row r="6">
      <c r="B6" s="5" t="inlineStr">
        <is>
          <t>Senior Secured Credit Facilities / RCF</t>
        </is>
      </c>
      <c r="C6" s="10" t="n">
        <v>1470</v>
      </c>
      <c r="D6" s="5" t="inlineStr">
        <is>
          <t>SOFR + 325 bp</t>
        </is>
      </c>
      <c r="E6" s="5" t="inlineStr">
        <is>
          <t>2026 - 2027</t>
        </is>
      </c>
      <c r="F6" s="5" t="inlineStr">
        <is>
          <t>First Lien Asset Pledge</t>
        </is>
      </c>
    </row>
    <row r="7">
      <c r="B7" s="5" t="inlineStr">
        <is>
          <t>Senior Unsecured Eurobonds (CEMBI)</t>
        </is>
      </c>
      <c r="C7" s="10" t="n">
        <v>2730</v>
      </c>
      <c r="D7" s="5" t="inlineStr">
        <is>
          <t>8.45% Fixed</t>
        </is>
      </c>
      <c r="E7" s="5" t="inlineStr">
        <is>
          <t>Proxy</t>
        </is>
      </c>
      <c r="F7" s="5" t="inlineStr">
        <is>
          <t>Senior Pari Passu</t>
        </is>
      </c>
    </row>
    <row r="8">
      <c r="B8" s="19" t="inlineStr">
        <is>
          <t>TOTAL GROSS DEBT</t>
        </is>
      </c>
      <c r="C8" s="20">
        <f>SUM(C6:C7)</f>
        <v/>
      </c>
      <c r="D8" s="19" t="inlineStr">
        <is>
          <t>Blended Cost</t>
        </is>
      </c>
      <c r="E8" s="19" t="inlineStr">
        <is>
          <t>-</t>
        </is>
      </c>
      <c r="F8" s="19" t="inlineStr">
        <is>
          <t>-</t>
        </is>
      </c>
    </row>
    <row r="11">
      <c r="B11" t="inlineStr">
        <is>
          <t>EBITDA SENSITIVITY vs EV MULTIPLE (IMPLIED BOND VALUE)</t>
        </is>
      </c>
    </row>
    <row r="12">
      <c r="B12" s="21" t="inlineStr">
        <is>
          <t>EBITDA Stress / Scenario</t>
        </is>
      </c>
      <c r="C12" s="3" t="inlineStr">
        <is>
          <t>3.0x EV Multiple</t>
        </is>
      </c>
      <c r="D12" s="3" t="inlineStr">
        <is>
          <t>4.0x EV Multiple</t>
        </is>
      </c>
      <c r="E12" s="3" t="inlineStr">
        <is>
          <t>5.0x EV Multiple</t>
        </is>
      </c>
      <c r="F12" s="3" t="inlineStr">
        <is>
          <t>6.0x EV Multiple</t>
        </is>
      </c>
    </row>
    <row r="13">
      <c r="B13" s="9" t="inlineStr">
        <is>
          <t>Base Case EBITDA ($2250.0M)</t>
        </is>
      </c>
      <c r="C13" s="22" t="n">
        <v>105</v>
      </c>
      <c r="D13" s="22" t="n">
        <v>105</v>
      </c>
      <c r="E13" s="22" t="n">
        <v>105</v>
      </c>
      <c r="F13" s="22" t="n">
        <v>105</v>
      </c>
    </row>
    <row r="14">
      <c r="B14" s="9" t="inlineStr">
        <is>
          <t>-15% Stress (Commodity / FX Shock) ($1912.0M)</t>
        </is>
      </c>
      <c r="C14" s="22" t="n">
        <v>105</v>
      </c>
      <c r="D14" s="22" t="n">
        <v>105</v>
      </c>
      <c r="E14" s="22" t="n">
        <v>105</v>
      </c>
      <c r="F14" s="22" t="n">
        <v>105</v>
      </c>
    </row>
    <row r="15">
      <c r="B15" s="9" t="inlineStr">
        <is>
          <t>-30% Stress (Severe Downturn) ($1575.0M)</t>
        </is>
      </c>
      <c r="C15" s="22" t="n">
        <v>105</v>
      </c>
      <c r="D15" s="22" t="n">
        <v>105</v>
      </c>
      <c r="E15" s="22" t="n">
        <v>105</v>
      </c>
      <c r="F15" s="22" t="n">
        <v>105</v>
      </c>
    </row>
    <row r="16">
      <c r="B16" s="9" t="inlineStr">
        <is>
          <t>+15% Upside (Expansion Run-Rate) ($2588.0M)</t>
        </is>
      </c>
      <c r="C16" s="22" t="n">
        <v>105</v>
      </c>
      <c r="D16" s="22" t="n">
        <v>105</v>
      </c>
      <c r="E16" s="22" t="n">
        <v>105</v>
      </c>
      <c r="F16" s="2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2026-09-18T22:13:04Z</dcterms:created>
  <dcterms:modified xmlns:dcterms="http://purl.org/dc/terms/" xmlns:xsi="http://www.w3.org/2001/XMLSchema-instance" xsi:type="dcterms:W3CDTF">2026-09-18T22:13:04Z</dcterms:modified>
</cp:coreProperties>
</file>
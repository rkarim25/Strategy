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Sonangol EP</t>
        </is>
      </c>
    </row>
    <row r="3">
      <c r="B3" s="2" t="inlineStr">
        <is>
          <t>CEMBI CEEMEA Assessment | Country: Angola | Sector: Energy | Benchmark: SONANG 9.15%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$97.20 (9.15% YTM)</t>
        </is>
      </c>
      <c r="D6" s="4" t="inlineStr">
        <is>
          <t>B- / B3 (+475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Equity Offshore Crude Oil Sales (74%), Refining &amp; Fuel Distribution (18%), Gas &amp; LNG (8%)</t>
        </is>
      </c>
      <c r="D7" s="4" t="inlineStr">
        <is>
          <t>Recovery Floor</t>
        </is>
      </c>
      <c r="E7" s="5" t="inlineStr">
        <is>
          <t>$65.00 (Base $101.00)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$101.00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$83.00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Sonangol EP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8568</v>
      </c>
      <c r="D7" s="15" t="n">
        <v>10332</v>
      </c>
      <c r="E7" s="15" t="n">
        <v>11592</v>
      </c>
      <c r="F7" s="15" t="n">
        <v>12600</v>
      </c>
      <c r="G7" s="16" t="n">
        <v>13608</v>
      </c>
      <c r="H7" s="16" t="n">
        <v>14490</v>
      </c>
      <c r="I7" s="16" t="n">
        <v>15120</v>
      </c>
    </row>
    <row r="8">
      <c r="B8" s="5" t="inlineStr">
        <is>
          <t>Cost of Goods Sold (COGS)</t>
        </is>
      </c>
      <c r="C8" s="17" t="n">
        <v>5115.6</v>
      </c>
      <c r="D8" s="17" t="n">
        <v>6211.8</v>
      </c>
      <c r="E8" s="17" t="n">
        <v>6796.4</v>
      </c>
      <c r="F8" s="17" t="n">
        <v>7308</v>
      </c>
      <c r="G8" s="18" t="n">
        <v>7819.6</v>
      </c>
      <c r="H8" s="18" t="n">
        <v>8258</v>
      </c>
      <c r="I8" s="18" t="n">
        <v>8623.4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354.2</v>
      </c>
      <c r="D11" s="17" t="n">
        <v>403.4</v>
      </c>
      <c r="E11" s="17" t="n">
        <v>452.6</v>
      </c>
      <c r="F11" s="17" t="n">
        <v>492</v>
      </c>
      <c r="G11" s="18" t="n">
        <v>521.5</v>
      </c>
      <c r="H11" s="18" t="n">
        <v>551</v>
      </c>
      <c r="I11" s="18" t="n">
        <v>570.7</v>
      </c>
    </row>
    <row r="12">
      <c r="B12" s="14" t="inlineStr">
        <is>
          <t>EBITDA</t>
        </is>
      </c>
      <c r="C12" s="15" t="n">
        <v>3120</v>
      </c>
      <c r="D12" s="15" t="n">
        <v>3840</v>
      </c>
      <c r="E12" s="15" t="n">
        <v>4320</v>
      </c>
      <c r="F12" s="15" t="n">
        <v>4800</v>
      </c>
      <c r="G12" s="16" t="n">
        <v>5280</v>
      </c>
      <c r="H12" s="16" t="n">
        <v>5664</v>
      </c>
      <c r="I12" s="16" t="n">
        <v>5952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1344</v>
      </c>
      <c r="D14" s="17" t="n">
        <v>1478.4</v>
      </c>
      <c r="E14" s="17" t="n">
        <v>1596</v>
      </c>
      <c r="F14" s="17" t="n">
        <v>1680</v>
      </c>
      <c r="G14" s="18" t="n">
        <v>1764</v>
      </c>
      <c r="H14" s="18" t="n">
        <v>1848</v>
      </c>
      <c r="I14" s="18" t="n">
        <v>1932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640</v>
      </c>
      <c r="D16" s="17" t="n">
        <v>800</v>
      </c>
      <c r="E16" s="17" t="n">
        <v>960</v>
      </c>
      <c r="F16" s="17" t="n">
        <v>1066.7</v>
      </c>
      <c r="G16" s="18" t="n">
        <v>1024</v>
      </c>
      <c r="H16" s="18" t="n">
        <v>981.3</v>
      </c>
      <c r="I16" s="18" t="n">
        <v>938.7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2321.3</v>
      </c>
      <c r="D20" s="15" t="n">
        <v>2920.3</v>
      </c>
      <c r="E20" s="15" t="n">
        <v>3294.7</v>
      </c>
      <c r="F20" s="15" t="n">
        <v>3744</v>
      </c>
      <c r="G20" s="16" t="n">
        <v>4118.4</v>
      </c>
      <c r="H20" s="16" t="n">
        <v>4417.9</v>
      </c>
      <c r="I20" s="16" t="n">
        <v>4680</v>
      </c>
    </row>
    <row r="21">
      <c r="B21" s="5" t="inlineStr">
        <is>
          <t>Capital Expenditures (Capex)</t>
        </is>
      </c>
      <c r="C21" s="17" t="n">
        <v>705.6</v>
      </c>
      <c r="D21" s="17" t="n">
        <v>856.8</v>
      </c>
      <c r="E21" s="17" t="n">
        <v>957.6</v>
      </c>
      <c r="F21" s="17" t="n">
        <v>1008</v>
      </c>
      <c r="G21" s="18" t="n">
        <v>1058.4</v>
      </c>
      <c r="H21" s="18" t="n">
        <v>1028.2</v>
      </c>
      <c r="I21" s="18" t="n">
        <v>987.8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1247.4</v>
      </c>
      <c r="D24" s="17" t="n">
        <v>1587.6</v>
      </c>
      <c r="E24" s="17" t="n">
        <v>1927.8</v>
      </c>
      <c r="F24" s="17" t="n">
        <v>2268</v>
      </c>
      <c r="G24" s="18" t="n">
        <v>2676.2</v>
      </c>
      <c r="H24" s="18" t="n">
        <v>3061.8</v>
      </c>
      <c r="I24" s="18" t="n">
        <v>3402</v>
      </c>
    </row>
    <row r="25">
      <c r="B25" s="14" t="inlineStr">
        <is>
          <t>Gross Debt (Loans + Eurobonds/Sukuk)</t>
        </is>
      </c>
      <c r="C25" s="15" t="n">
        <v>10087.8</v>
      </c>
      <c r="D25" s="15" t="n">
        <v>10918.6</v>
      </c>
      <c r="E25" s="15" t="n">
        <v>11630.6</v>
      </c>
      <c r="F25" s="15" t="n">
        <v>11868</v>
      </c>
      <c r="G25" s="16" t="n">
        <v>11630.6</v>
      </c>
      <c r="H25" s="16" t="n">
        <v>11274.6</v>
      </c>
      <c r="I25" s="16" t="n">
        <v>10681.2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2026-09-19T17:13:42Z</dcterms:created>
  <dcterms:modified xmlns:dcterms="http://purl.org/dc/terms/" xmlns:xsi="http://www.w3.org/2001/XMLSchema-instance" xsi:type="dcterms:W3CDTF">2026-09-19T17:13:42Z</dcterms:modified>
</cp:coreProperties>
</file>
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GDZ Elektrik</t>
        </is>
      </c>
    </row>
    <row r="3">
      <c r="B3" s="2" t="inlineStr">
        <is>
          <t>CEMBI CEEMEA Assessment | Country: Turkey | Sector: Utilities | Benchmark: GDZTR 9.10%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$98.20 (9.10% YTM)</t>
        </is>
      </c>
      <c r="D6" s="4" t="inlineStr">
        <is>
          <t>B / B2 (+470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İzmir Metropolitan Industrial Tariffs (58%), Residential Grid Tariffs (32%), Commercial (10%)</t>
        </is>
      </c>
      <c r="D7" s="4" t="inlineStr">
        <is>
          <t>Recovery Floor</t>
        </is>
      </c>
      <c r="E7" s="5" t="inlineStr">
        <is>
          <t>$72.00 (Base $100.00)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$100.00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$86.00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GDZ Elektrik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394.4</v>
      </c>
      <c r="D7" s="15" t="n">
        <v>475.6</v>
      </c>
      <c r="E7" s="15" t="n">
        <v>533.6</v>
      </c>
      <c r="F7" s="15" t="n">
        <v>580</v>
      </c>
      <c r="G7" s="16" t="n">
        <v>626.4</v>
      </c>
      <c r="H7" s="16" t="n">
        <v>667</v>
      </c>
      <c r="I7" s="16" t="n">
        <v>696</v>
      </c>
    </row>
    <row r="8">
      <c r="B8" s="5" t="inlineStr">
        <is>
          <t>Cost of Goods Sold (COGS)</t>
        </is>
      </c>
      <c r="C8" s="17" t="n">
        <v>235.5</v>
      </c>
      <c r="D8" s="17" t="n">
        <v>285.9</v>
      </c>
      <c r="E8" s="17" t="n">
        <v>312.9</v>
      </c>
      <c r="F8" s="17" t="n">
        <v>336.4</v>
      </c>
      <c r="G8" s="18" t="n">
        <v>359.9</v>
      </c>
      <c r="H8" s="18" t="n">
        <v>380.1</v>
      </c>
      <c r="I8" s="18" t="n">
        <v>397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35</v>
      </c>
      <c r="D11" s="17" t="n">
        <v>39.9</v>
      </c>
      <c r="E11" s="17" t="n">
        <v>44.7</v>
      </c>
      <c r="F11" s="17" t="n">
        <v>48.6</v>
      </c>
      <c r="G11" s="18" t="n">
        <v>51.5</v>
      </c>
      <c r="H11" s="18" t="n">
        <v>54.4</v>
      </c>
      <c r="I11" s="18" t="n">
        <v>56.4</v>
      </c>
    </row>
    <row r="12">
      <c r="B12" s="14" t="inlineStr">
        <is>
          <t>EBITDA</t>
        </is>
      </c>
      <c r="C12" s="15" t="n">
        <v>126.8</v>
      </c>
      <c r="D12" s="15" t="n">
        <v>156</v>
      </c>
      <c r="E12" s="15" t="n">
        <v>175.5</v>
      </c>
      <c r="F12" s="15" t="n">
        <v>195</v>
      </c>
      <c r="G12" s="16" t="n">
        <v>214.5</v>
      </c>
      <c r="H12" s="16" t="n">
        <v>230.1</v>
      </c>
      <c r="I12" s="16" t="n">
        <v>241.8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54.6</v>
      </c>
      <c r="D14" s="17" t="n">
        <v>60.1</v>
      </c>
      <c r="E14" s="17" t="n">
        <v>64.8</v>
      </c>
      <c r="F14" s="17" t="n">
        <v>68.2</v>
      </c>
      <c r="G14" s="18" t="n">
        <v>71.7</v>
      </c>
      <c r="H14" s="18" t="n">
        <v>75.09999999999999</v>
      </c>
      <c r="I14" s="18" t="n">
        <v>78.5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26</v>
      </c>
      <c r="D16" s="17" t="n">
        <v>32.5</v>
      </c>
      <c r="E16" s="17" t="n">
        <v>39</v>
      </c>
      <c r="F16" s="17" t="n">
        <v>43.3</v>
      </c>
      <c r="G16" s="18" t="n">
        <v>41.6</v>
      </c>
      <c r="H16" s="18" t="n">
        <v>39.9</v>
      </c>
      <c r="I16" s="18" t="n">
        <v>38.1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94.3</v>
      </c>
      <c r="D20" s="15" t="n">
        <v>118.6</v>
      </c>
      <c r="E20" s="15" t="n">
        <v>133.8</v>
      </c>
      <c r="F20" s="15" t="n">
        <v>152.1</v>
      </c>
      <c r="G20" s="16" t="n">
        <v>167.3</v>
      </c>
      <c r="H20" s="16" t="n">
        <v>179.5</v>
      </c>
      <c r="I20" s="16" t="n">
        <v>190.1</v>
      </c>
    </row>
    <row r="21">
      <c r="B21" s="5" t="inlineStr">
        <is>
          <t>Capital Expenditures (Capex)</t>
        </is>
      </c>
      <c r="C21" s="17" t="n">
        <v>32.5</v>
      </c>
      <c r="D21" s="17" t="n">
        <v>39.4</v>
      </c>
      <c r="E21" s="17" t="n">
        <v>44.1</v>
      </c>
      <c r="F21" s="17" t="n">
        <v>46.4</v>
      </c>
      <c r="G21" s="18" t="n">
        <v>48.7</v>
      </c>
      <c r="H21" s="18" t="n">
        <v>47.3</v>
      </c>
      <c r="I21" s="18" t="n">
        <v>45.5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57.4</v>
      </c>
      <c r="D24" s="17" t="n">
        <v>73.09999999999999</v>
      </c>
      <c r="E24" s="17" t="n">
        <v>88.7</v>
      </c>
      <c r="F24" s="17" t="n">
        <v>104.4</v>
      </c>
      <c r="G24" s="18" t="n">
        <v>123.2</v>
      </c>
      <c r="H24" s="18" t="n">
        <v>140.9</v>
      </c>
      <c r="I24" s="18" t="n">
        <v>156.6</v>
      </c>
    </row>
    <row r="25">
      <c r="B25" s="14" t="inlineStr">
        <is>
          <t>Gross Debt (Loans + Eurobonds/Sukuk)</t>
        </is>
      </c>
      <c r="C25" s="15" t="n">
        <v>420.2</v>
      </c>
      <c r="D25" s="15" t="n">
        <v>454.8</v>
      </c>
      <c r="E25" s="15" t="n">
        <v>484.5</v>
      </c>
      <c r="F25" s="15" t="n">
        <v>494.4</v>
      </c>
      <c r="G25" s="16" t="n">
        <v>484.5</v>
      </c>
      <c r="H25" s="16" t="n">
        <v>469.7</v>
      </c>
      <c r="I25" s="16" t="n">
        <v>445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2026-09-19T17:13:41Z</dcterms:created>
  <dcterms:modified xmlns:dcterms="http://purl.org/dc/terms/" xmlns:xsi="http://www.w3.org/2001/XMLSchema-instance" xsi:type="dcterms:W3CDTF">2026-09-19T17:13:41Z</dcterms:modified>
</cp:coreProperties>
</file>
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Sasol Ltd</t>
        </is>
      </c>
    </row>
    <row r="3">
      <c r="B3" s="2" t="inlineStr">
        <is>
          <t>CEMBI CEEMEA Assessment | Country: South Africa | Sector: Energy | Benchmark: SOLSJ 7.85% 2029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$98.40 (7.85% YTM)</t>
        </is>
      </c>
      <c r="D6" s="4" t="inlineStr">
        <is>
          <t>BB+ / Ba1 (+365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Synfuels &amp; Liquid Refining (Secunda: 48%), Base &amp; Performance Chemicals (42%), Mining &amp; Gas (10%)</t>
        </is>
      </c>
      <c r="D7" s="4" t="inlineStr">
        <is>
          <t>Recovery Floor</t>
        </is>
      </c>
      <c r="E7" s="5" t="inlineStr">
        <is>
          <t>$64.00 (Base $99.00)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$99.00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$81.50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Sasol Ltd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9656</v>
      </c>
      <c r="D7" s="15" t="n">
        <v>11644</v>
      </c>
      <c r="E7" s="15" t="n">
        <v>13064</v>
      </c>
      <c r="F7" s="15" t="n">
        <v>14200</v>
      </c>
      <c r="G7" s="16" t="n">
        <v>15336</v>
      </c>
      <c r="H7" s="16" t="n">
        <v>16330</v>
      </c>
      <c r="I7" s="16" t="n">
        <v>17040</v>
      </c>
    </row>
    <row r="8">
      <c r="B8" s="5" t="inlineStr">
        <is>
          <t>Cost of Goods Sold (COGS)</t>
        </is>
      </c>
      <c r="C8" s="17" t="n">
        <v>5765.2</v>
      </c>
      <c r="D8" s="17" t="n">
        <v>7000.6</v>
      </c>
      <c r="E8" s="17" t="n">
        <v>7659.5</v>
      </c>
      <c r="F8" s="17" t="n">
        <v>8236</v>
      </c>
      <c r="G8" s="18" t="n">
        <v>8812.5</v>
      </c>
      <c r="H8" s="18" t="n">
        <v>9306.700000000001</v>
      </c>
      <c r="I8" s="18" t="n">
        <v>9718.5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2242.1</v>
      </c>
      <c r="D11" s="17" t="n">
        <v>2553.5</v>
      </c>
      <c r="E11" s="17" t="n">
        <v>2864.9</v>
      </c>
      <c r="F11" s="17" t="n">
        <v>3114</v>
      </c>
      <c r="G11" s="18" t="n">
        <v>3300.8</v>
      </c>
      <c r="H11" s="18" t="n">
        <v>3487.7</v>
      </c>
      <c r="I11" s="18" t="n">
        <v>3612.2</v>
      </c>
    </row>
    <row r="12">
      <c r="B12" s="14" t="inlineStr">
        <is>
          <t>EBITDA</t>
        </is>
      </c>
      <c r="C12" s="15" t="n">
        <v>1852.5</v>
      </c>
      <c r="D12" s="15" t="n">
        <v>2280</v>
      </c>
      <c r="E12" s="15" t="n">
        <v>2565</v>
      </c>
      <c r="F12" s="15" t="n">
        <v>2850</v>
      </c>
      <c r="G12" s="16" t="n">
        <v>3135</v>
      </c>
      <c r="H12" s="16" t="n">
        <v>3363</v>
      </c>
      <c r="I12" s="16" t="n">
        <v>3534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798</v>
      </c>
      <c r="D14" s="17" t="n">
        <v>877.8</v>
      </c>
      <c r="E14" s="17" t="n">
        <v>947.6</v>
      </c>
      <c r="F14" s="17" t="n">
        <v>997.5</v>
      </c>
      <c r="G14" s="18" t="n">
        <v>1047.4</v>
      </c>
      <c r="H14" s="18" t="n">
        <v>1097.2</v>
      </c>
      <c r="I14" s="18" t="n">
        <v>1147.1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380</v>
      </c>
      <c r="D16" s="17" t="n">
        <v>475</v>
      </c>
      <c r="E16" s="17" t="n">
        <v>570</v>
      </c>
      <c r="F16" s="17" t="n">
        <v>633.3</v>
      </c>
      <c r="G16" s="18" t="n">
        <v>608</v>
      </c>
      <c r="H16" s="18" t="n">
        <v>582.7</v>
      </c>
      <c r="I16" s="18" t="n">
        <v>557.3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1378.3</v>
      </c>
      <c r="D20" s="15" t="n">
        <v>1733.9</v>
      </c>
      <c r="E20" s="15" t="n">
        <v>1956.2</v>
      </c>
      <c r="F20" s="15" t="n">
        <v>2223</v>
      </c>
      <c r="G20" s="16" t="n">
        <v>2445.3</v>
      </c>
      <c r="H20" s="16" t="n">
        <v>2623.1</v>
      </c>
      <c r="I20" s="16" t="n">
        <v>2778.8</v>
      </c>
    </row>
    <row r="21">
      <c r="B21" s="5" t="inlineStr">
        <is>
          <t>Capital Expenditures (Capex)</t>
        </is>
      </c>
      <c r="C21" s="17" t="n">
        <v>795.2</v>
      </c>
      <c r="D21" s="17" t="n">
        <v>965.6</v>
      </c>
      <c r="E21" s="17" t="n">
        <v>1079.2</v>
      </c>
      <c r="F21" s="17" t="n">
        <v>1136</v>
      </c>
      <c r="G21" s="18" t="n">
        <v>1192.8</v>
      </c>
      <c r="H21" s="18" t="n">
        <v>1158.7</v>
      </c>
      <c r="I21" s="18" t="n">
        <v>1113.3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1405.8</v>
      </c>
      <c r="D24" s="17" t="n">
        <v>1789.2</v>
      </c>
      <c r="E24" s="17" t="n">
        <v>2172.6</v>
      </c>
      <c r="F24" s="17" t="n">
        <v>2556</v>
      </c>
      <c r="G24" s="18" t="n">
        <v>3016.1</v>
      </c>
      <c r="H24" s="18" t="n">
        <v>3450.6</v>
      </c>
      <c r="I24" s="18" t="n">
        <v>3834</v>
      </c>
    </row>
    <row r="25">
      <c r="B25" s="14" t="inlineStr">
        <is>
          <t>Gross Debt (Loans + Eurobonds/Sukuk)</t>
        </is>
      </c>
      <c r="C25" s="15" t="n">
        <v>7017.6</v>
      </c>
      <c r="D25" s="15" t="n">
        <v>7595.5</v>
      </c>
      <c r="E25" s="15" t="n">
        <v>8090.9</v>
      </c>
      <c r="F25" s="15" t="n">
        <v>8256</v>
      </c>
      <c r="G25" s="16" t="n">
        <v>8090.9</v>
      </c>
      <c r="H25" s="16" t="n">
        <v>7843.2</v>
      </c>
      <c r="I25" s="16" t="n">
        <v>7430.4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
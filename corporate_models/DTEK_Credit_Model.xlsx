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0" fillId="0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DTEK Holdings / DTEK Energy</t>
        </is>
      </c>
    </row>
    <row r="3">
      <c r="B3" s="2" t="inlineStr">
        <is>
          <t>CEMBI CEEMEA Credit Assessment | Country: Ukraine | Sector: Utilities / Power &amp; Renewables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</t>
        </is>
      </c>
      <c r="C6" s="5" t="inlineStr">
        <is>
          <t>DTEK 10.75% 2027 USD Restructured Notes</t>
        </is>
      </c>
      <c r="D6" s="4" t="inlineStr">
        <is>
          <t>Agency Rating</t>
        </is>
      </c>
      <c r="E6" s="5" t="inlineStr">
        <is>
          <t>CCC / Caa3 (Fitch/Moody's)</t>
        </is>
      </c>
    </row>
    <row r="7">
      <c r="B7" s="4" t="inlineStr">
        <is>
          <t>Clean Price</t>
        </is>
      </c>
      <c r="C7" s="6" t="n">
        <v>68.5</v>
      </c>
      <c r="D7" s="4" t="inlineStr">
        <is>
          <t>Recommendation</t>
        </is>
      </c>
      <c r="E7" s="7" t="inlineStr">
        <is>
          <t>Speculative Overweight</t>
        </is>
      </c>
    </row>
    <row r="8">
      <c r="B8" s="4" t="inlineStr">
        <is>
          <t>Yield to Maturity (YTM)</t>
        </is>
      </c>
      <c r="C8" s="8" t="n">
        <v>0.185</v>
      </c>
      <c r="D8" s="4" t="inlineStr">
        <is>
          <t>Z-Spread</t>
        </is>
      </c>
      <c r="E8" s="5" t="inlineStr">
        <is>
          <t>+1410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2400</v>
      </c>
      <c r="D11" s="10">
        <f>C11*0.80</f>
        <v/>
      </c>
      <c r="E11" s="11" t="inlineStr">
        <is>
          <t>Top-line revenue under baseline vs macro stress</t>
        </is>
      </c>
    </row>
    <row r="12">
      <c r="B12" s="9" t="inlineStr">
        <is>
          <t>EBITDA</t>
        </is>
      </c>
      <c r="C12" s="10" t="n">
        <v>420</v>
      </c>
      <c r="D12" s="10">
        <f>C12*0.75</f>
        <v/>
      </c>
      <c r="E12" s="11" t="inlineStr">
        <is>
          <t>Margin: 17.5% of revenue</t>
        </is>
      </c>
    </row>
    <row r="13">
      <c r="B13" s="9" t="inlineStr">
        <is>
          <t>Capital Expenditures (Capex)</t>
        </is>
      </c>
      <c r="C13" s="10" t="n">
        <v>220</v>
      </c>
      <c r="D13" s="10">
        <f>C13*0.85</f>
        <v/>
      </c>
      <c r="E13" s="11" t="inlineStr">
        <is>
          <t>Essential maintenance and sustaining capex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post capex and debt service</t>
        </is>
      </c>
    </row>
    <row r="15">
      <c r="B15" s="9" t="inlineStr">
        <is>
          <t>Cash &amp; Equivalents</t>
        </is>
      </c>
      <c r="C15" s="10" t="n">
        <v>180</v>
      </c>
      <c r="D15" s="10">
        <f>C15*0.90</f>
        <v/>
      </c>
      <c r="E15" s="11" t="inlineStr">
        <is>
          <t>Unrestricted liquid treasury balance</t>
        </is>
      </c>
    </row>
    <row r="16">
      <c r="B16" s="9" t="inlineStr">
        <is>
          <t>Annual Interest Expense</t>
        </is>
      </c>
      <c r="C16" s="10" t="n">
        <v>130</v>
      </c>
      <c r="D16" s="10">
        <f>C16</f>
        <v/>
      </c>
      <c r="E16" s="11" t="inlineStr">
        <is>
          <t>Current coupon &amp; debt servicing expense</t>
        </is>
      </c>
    </row>
    <row r="17">
      <c r="B17" s="9" t="inlineStr">
        <is>
          <t>Gross Debt</t>
        </is>
      </c>
      <c r="C17" s="10" t="n">
        <v>1450</v>
      </c>
      <c r="D17" s="10">
        <f>C17</f>
        <v/>
      </c>
      <c r="E17" s="11" t="inlineStr">
        <is>
          <t>Total outstanding bank facilities &amp; notes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available cash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Net leverage cushion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Interest coverage buffer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(Peace Dividend / Expansion)</t>
        </is>
      </c>
      <c r="C23" s="10" t="n">
        <v>2530</v>
      </c>
      <c r="D23" s="5" t="inlineStr">
        <is>
          <t>100%</t>
        </is>
      </c>
      <c r="E23" s="15" t="n">
        <v>92</v>
      </c>
    </row>
    <row r="24">
      <c r="B24" s="5" t="inlineStr">
        <is>
          <t>Base Case (Through-the-Cycle Multiple)</t>
        </is>
      </c>
      <c r="C24" s="10" t="n">
        <v>2200</v>
      </c>
      <c r="D24" s="5" t="inlineStr">
        <is>
          <t>100%</t>
        </is>
      </c>
      <c r="E24" s="15" t="n">
        <v>80</v>
      </c>
    </row>
    <row r="25">
      <c r="B25" s="5" t="inlineStr">
        <is>
          <t>Downside Stress Case (Trough Operation)</t>
        </is>
      </c>
      <c r="C25" s="10" t="n">
        <v>1540</v>
      </c>
      <c r="D25" s="5" t="inlineStr">
        <is>
          <t>100%</t>
        </is>
      </c>
      <c r="E25" s="15" t="n">
        <v>55</v>
      </c>
    </row>
    <row r="26">
      <c r="B26" s="16" t="inlineStr">
        <is>
          <t>Liquidation Floor (Hard Asset Collateral)</t>
        </is>
      </c>
      <c r="C26" s="17" t="n">
        <v>990</v>
      </c>
      <c r="D26" s="16" t="inlineStr">
        <is>
          <t>Full Collateral Backing</t>
        </is>
      </c>
      <c r="E26" s="1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>
      <c r="B2" s="1" t="inlineStr">
        <is>
          <t>DTEK Holdings / DTEK Energy — Debt Schedule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COUPON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Cash &amp; Liquid Reserves</t>
        </is>
      </c>
      <c r="C5" s="10" t="n">
        <v>180</v>
      </c>
      <c r="D5" s="5" t="inlineStr">
        <is>
          <t>SOFR + 50 bp</t>
        </is>
      </c>
      <c r="E5" s="5" t="inlineStr">
        <is>
          <t>Immediate</t>
        </is>
      </c>
      <c r="F5" s="5" t="inlineStr">
        <is>
          <t>Unencumbered Liquidity</t>
        </is>
      </c>
    </row>
    <row r="6">
      <c r="B6" s="5" t="inlineStr">
        <is>
          <t>Senior Secured Bank / Multilateral Lines</t>
        </is>
      </c>
      <c r="C6" s="10" t="n">
        <v>580</v>
      </c>
      <c r="D6" s="5" t="inlineStr">
        <is>
          <t>SOFR + 350 bp</t>
        </is>
      </c>
      <c r="E6" s="5" t="inlineStr">
        <is>
          <t>2026 - 2028</t>
        </is>
      </c>
      <c r="F6" s="5" t="inlineStr">
        <is>
          <t>First Lien Asset Pledge</t>
        </is>
      </c>
    </row>
    <row r="7">
      <c r="B7" s="5" t="inlineStr">
        <is>
          <t>Senior Eurobonds / Notes</t>
        </is>
      </c>
      <c r="C7" s="10" t="n">
        <v>870</v>
      </c>
      <c r="D7" s="5" t="inlineStr">
        <is>
          <t>18.5% Fixed</t>
        </is>
      </c>
      <c r="E7" s="5" t="inlineStr">
        <is>
          <t>Notes</t>
        </is>
      </c>
      <c r="F7" s="5" t="inlineStr">
        <is>
          <t>Senior Pari Passu</t>
        </is>
      </c>
    </row>
    <row r="8">
      <c r="B8" s="19" t="inlineStr">
        <is>
          <t>TOTAL GROSS DEBT</t>
        </is>
      </c>
      <c r="C8" s="20">
        <f>SUM(C6:C7)</f>
        <v/>
      </c>
      <c r="D8" s="19" t="inlineStr">
        <is>
          <t>Blended Cost</t>
        </is>
      </c>
      <c r="E8" s="19" t="inlineStr">
        <is>
          <t>-</t>
        </is>
      </c>
      <c r="F8" s="19" t="inlineStr">
        <is>
          <t>-</t>
        </is>
      </c>
    </row>
    <row r="11">
      <c r="B11" t="inlineStr">
        <is>
          <t>EBITDA SENSITIVITY vs EV MULTIPLE (IMPLIED BOND VALUE)</t>
        </is>
      </c>
    </row>
    <row r="12">
      <c r="B12" s="21" t="inlineStr">
        <is>
          <t>EBITDA Stress / Scenario</t>
        </is>
      </c>
      <c r="C12" s="3" t="inlineStr">
        <is>
          <t>3.0x EV Multiple</t>
        </is>
      </c>
      <c r="D12" s="3" t="inlineStr">
        <is>
          <t>4.0x EV Multiple</t>
        </is>
      </c>
      <c r="E12" s="3" t="inlineStr">
        <is>
          <t>5.0x EV Multiple</t>
        </is>
      </c>
      <c r="F12" s="3" t="inlineStr">
        <is>
          <t>6.0x EV Multiple</t>
        </is>
      </c>
    </row>
    <row r="13">
      <c r="B13" s="9" t="inlineStr">
        <is>
          <t>Base Case EBITDA ($420.0M)</t>
        </is>
      </c>
      <c r="C13" s="22" t="n">
        <v>78.2</v>
      </c>
      <c r="D13" s="23" t="n">
        <v>105</v>
      </c>
      <c r="E13" s="23" t="n">
        <v>105</v>
      </c>
      <c r="F13" s="23" t="n">
        <v>105</v>
      </c>
    </row>
    <row r="14">
      <c r="B14" s="9" t="inlineStr">
        <is>
          <t>-15% Stress (Operational Shock) ($357.0M)</t>
        </is>
      </c>
      <c r="C14" s="24" t="n">
        <v>56.4</v>
      </c>
      <c r="D14" s="23" t="n">
        <v>97.5</v>
      </c>
      <c r="E14" s="23" t="n">
        <v>105</v>
      </c>
      <c r="F14" s="23" t="n">
        <v>105</v>
      </c>
    </row>
    <row r="15">
      <c r="B15" s="9" t="inlineStr">
        <is>
          <t>-30% Stress (Severe Downturn) ($294.0M)</t>
        </is>
      </c>
      <c r="C15" s="24" t="n">
        <v>35</v>
      </c>
      <c r="D15" s="22" t="n">
        <v>68.5</v>
      </c>
      <c r="E15" s="23" t="n">
        <v>102.3</v>
      </c>
      <c r="F15" s="23" t="n">
        <v>105</v>
      </c>
    </row>
    <row r="16">
      <c r="B16" s="9" t="inlineStr">
        <is>
          <t>+15% Upside (Expansion Run-Rate) ($483.0M)</t>
        </is>
      </c>
      <c r="C16" s="23" t="n">
        <v>99.90000000000001</v>
      </c>
      <c r="D16" s="23" t="n">
        <v>105</v>
      </c>
      <c r="E16" s="23" t="n">
        <v>105</v>
      </c>
      <c r="F16" s="2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2026-09-18T22:14:57Z</dcterms:created>
  <dcterms:modified xmlns:dcterms="http://purl.org/dc/terms/" xmlns:xsi="http://www.w3.org/2001/XMLSchema-instance" xsi:type="dcterms:W3CDTF">2026-09-18T22:14:57Z</dcterms:modified>
</cp:coreProperties>
</file>
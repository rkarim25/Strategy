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Şişecam</t>
        </is>
      </c>
    </row>
    <row r="3">
      <c r="B3" s="2" t="inlineStr">
        <is>
          <t>CEMBI CEEMEA Assessment | Country: Turkey | Sector: Materials | Benchmark: SISETR 6.85%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$99.50 (6.85% YTM)</t>
        </is>
      </c>
      <c r="D6" s="4" t="inlineStr">
        <is>
          <t>BB- / B1 (+245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Architectural Flat Glass (38%), Soda Ash &amp; Chemicals (30%), Glass Packaging (20%), Glassware (12%)</t>
        </is>
      </c>
      <c r="D7" s="4" t="inlineStr">
        <is>
          <t>Recovery Floor</t>
        </is>
      </c>
      <c r="E7" s="5" t="inlineStr">
        <is>
          <t>$78.00 (Base $102.00)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$102.00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$90.00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$78.00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Şişecam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3740</v>
      </c>
      <c r="D7" s="15" t="n">
        <v>4510</v>
      </c>
      <c r="E7" s="15" t="n">
        <v>5060</v>
      </c>
      <c r="F7" s="15" t="n">
        <v>5500</v>
      </c>
      <c r="G7" s="16" t="n">
        <v>5940</v>
      </c>
      <c r="H7" s="16" t="n">
        <v>6325</v>
      </c>
      <c r="I7" s="16" t="n">
        <v>6600</v>
      </c>
    </row>
    <row r="8">
      <c r="B8" s="5" t="inlineStr">
        <is>
          <t>Cost of Goods Sold (COGS)</t>
        </is>
      </c>
      <c r="C8" s="17" t="n">
        <v>2233</v>
      </c>
      <c r="D8" s="17" t="n">
        <v>2711.5</v>
      </c>
      <c r="E8" s="17" t="n">
        <v>2966.7</v>
      </c>
      <c r="F8" s="17" t="n">
        <v>3190</v>
      </c>
      <c r="G8" s="18" t="n">
        <v>3413.3</v>
      </c>
      <c r="H8" s="18" t="n">
        <v>3604.7</v>
      </c>
      <c r="I8" s="18" t="n">
        <v>3764.2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871.2</v>
      </c>
      <c r="D11" s="17" t="n">
        <v>992.2</v>
      </c>
      <c r="E11" s="17" t="n">
        <v>1113.2</v>
      </c>
      <c r="F11" s="17" t="n">
        <v>1210</v>
      </c>
      <c r="G11" s="18" t="n">
        <v>1282.6</v>
      </c>
      <c r="H11" s="18" t="n">
        <v>1355.2</v>
      </c>
      <c r="I11" s="18" t="n">
        <v>1403.6</v>
      </c>
    </row>
    <row r="12">
      <c r="B12" s="14" t="inlineStr">
        <is>
          <t>EBITDA</t>
        </is>
      </c>
      <c r="C12" s="15" t="n">
        <v>715</v>
      </c>
      <c r="D12" s="15" t="n">
        <v>880</v>
      </c>
      <c r="E12" s="15" t="n">
        <v>990</v>
      </c>
      <c r="F12" s="15" t="n">
        <v>1100</v>
      </c>
      <c r="G12" s="16" t="n">
        <v>1210</v>
      </c>
      <c r="H12" s="16" t="n">
        <v>1298</v>
      </c>
      <c r="I12" s="16" t="n">
        <v>1364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308</v>
      </c>
      <c r="D14" s="17" t="n">
        <v>338.8</v>
      </c>
      <c r="E14" s="17" t="n">
        <v>365.8</v>
      </c>
      <c r="F14" s="17" t="n">
        <v>385</v>
      </c>
      <c r="G14" s="18" t="n">
        <v>404.2</v>
      </c>
      <c r="H14" s="18" t="n">
        <v>423.5</v>
      </c>
      <c r="I14" s="18" t="n">
        <v>442.7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146.7</v>
      </c>
      <c r="D16" s="17" t="n">
        <v>183.3</v>
      </c>
      <c r="E16" s="17" t="n">
        <v>220</v>
      </c>
      <c r="F16" s="17" t="n">
        <v>244.4</v>
      </c>
      <c r="G16" s="18" t="n">
        <v>234.7</v>
      </c>
      <c r="H16" s="18" t="n">
        <v>224.9</v>
      </c>
      <c r="I16" s="18" t="n">
        <v>215.1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532</v>
      </c>
      <c r="D20" s="15" t="n">
        <v>669.2</v>
      </c>
      <c r="E20" s="15" t="n">
        <v>755</v>
      </c>
      <c r="F20" s="15" t="n">
        <v>858</v>
      </c>
      <c r="G20" s="16" t="n">
        <v>943.8</v>
      </c>
      <c r="H20" s="16" t="n">
        <v>1012.4</v>
      </c>
      <c r="I20" s="16" t="n">
        <v>1072.5</v>
      </c>
    </row>
    <row r="21">
      <c r="B21" s="5" t="inlineStr">
        <is>
          <t>Capital Expenditures (Capex)</t>
        </is>
      </c>
      <c r="C21" s="17" t="n">
        <v>308</v>
      </c>
      <c r="D21" s="17" t="n">
        <v>374</v>
      </c>
      <c r="E21" s="17" t="n">
        <v>418</v>
      </c>
      <c r="F21" s="17" t="n">
        <v>440</v>
      </c>
      <c r="G21" s="18" t="n">
        <v>462</v>
      </c>
      <c r="H21" s="18" t="n">
        <v>448.8</v>
      </c>
      <c r="I21" s="18" t="n">
        <v>431.2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544.5</v>
      </c>
      <c r="D24" s="17" t="n">
        <v>693</v>
      </c>
      <c r="E24" s="17" t="n">
        <v>841.5</v>
      </c>
      <c r="F24" s="17" t="n">
        <v>990</v>
      </c>
      <c r="G24" s="18" t="n">
        <v>1168.2</v>
      </c>
      <c r="H24" s="18" t="n">
        <v>1336.5</v>
      </c>
      <c r="I24" s="18" t="n">
        <v>1485</v>
      </c>
    </row>
    <row r="25">
      <c r="B25" s="14" t="inlineStr">
        <is>
          <t>Gross Debt (Loans + Eurobonds/Sukuk)</t>
        </is>
      </c>
      <c r="C25" s="15" t="n">
        <v>2711.5</v>
      </c>
      <c r="D25" s="15" t="n">
        <v>2934.8</v>
      </c>
      <c r="E25" s="15" t="n">
        <v>3126.2</v>
      </c>
      <c r="F25" s="15" t="n">
        <v>3190</v>
      </c>
      <c r="G25" s="16" t="n">
        <v>3126.2</v>
      </c>
      <c r="H25" s="16" t="n">
        <v>3030.5</v>
      </c>
      <c r="I25" s="16" t="n">
        <v>2871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2026-09-19T17:13:41Z</dcterms:modified>
</cp:coreProperties>
</file>
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DP World</t>
        </is>
      </c>
    </row>
    <row r="3">
      <c r="B3" s="2" t="inlineStr">
        <is>
          <t>CEMBI CEEMEA Assessment | Country: UAE | Sector: Infrastructure | Benchmark: DPW 5.35% 2033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$98.00 (5.35% YTM)</t>
        </is>
      </c>
      <c r="D6" s="4" t="inlineStr">
        <is>
          <t>BBB+ / Baa2 (+120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Ports &amp; Marine Terminals (46%), Logistics &amp; Freight Forwarding (36%), Maritime Services (P&amp;O: 18%)</t>
        </is>
      </c>
      <c r="D7" s="4" t="inlineStr">
        <is>
          <t>Recovery Floor</t>
        </is>
      </c>
      <c r="E7" s="5" t="inlineStr">
        <is>
          <t>$72.00 (Base $102.50)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$87.25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$72.00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DP World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12376</v>
      </c>
      <c r="D7" s="15" t="n">
        <v>14924</v>
      </c>
      <c r="E7" s="15" t="n">
        <v>16744</v>
      </c>
      <c r="F7" s="15" t="n">
        <v>18200</v>
      </c>
      <c r="G7" s="16" t="n">
        <v>19656</v>
      </c>
      <c r="H7" s="16" t="n">
        <v>20930</v>
      </c>
      <c r="I7" s="16" t="n">
        <v>21840</v>
      </c>
    </row>
    <row r="8">
      <c r="B8" s="5" t="inlineStr">
        <is>
          <t>Cost of Goods Sold (COGS)</t>
        </is>
      </c>
      <c r="C8" s="17" t="n">
        <v>7389.2</v>
      </c>
      <c r="D8" s="17" t="n">
        <v>8972.6</v>
      </c>
      <c r="E8" s="17" t="n">
        <v>9817.1</v>
      </c>
      <c r="F8" s="17" t="n">
        <v>10556</v>
      </c>
      <c r="G8" s="18" t="n">
        <v>11294.9</v>
      </c>
      <c r="H8" s="18" t="n">
        <v>11928.3</v>
      </c>
      <c r="I8" s="18" t="n">
        <v>12456.1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1831.7</v>
      </c>
      <c r="D11" s="17" t="n">
        <v>2086.1</v>
      </c>
      <c r="E11" s="17" t="n">
        <v>2340.5</v>
      </c>
      <c r="F11" s="17" t="n">
        <v>2544</v>
      </c>
      <c r="G11" s="18" t="n">
        <v>2696.6</v>
      </c>
      <c r="H11" s="18" t="n">
        <v>2849.3</v>
      </c>
      <c r="I11" s="18" t="n">
        <v>2951</v>
      </c>
    </row>
    <row r="12">
      <c r="B12" s="14" t="inlineStr">
        <is>
          <t>EBITDA</t>
        </is>
      </c>
      <c r="C12" s="15" t="n">
        <v>3315</v>
      </c>
      <c r="D12" s="15" t="n">
        <v>4080</v>
      </c>
      <c r="E12" s="15" t="n">
        <v>4590</v>
      </c>
      <c r="F12" s="15" t="n">
        <v>5100</v>
      </c>
      <c r="G12" s="16" t="n">
        <v>5610</v>
      </c>
      <c r="H12" s="16" t="n">
        <v>6018</v>
      </c>
      <c r="I12" s="16" t="n">
        <v>6324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1428</v>
      </c>
      <c r="D14" s="17" t="n">
        <v>1570.8</v>
      </c>
      <c r="E14" s="17" t="n">
        <v>1695.8</v>
      </c>
      <c r="F14" s="17" t="n">
        <v>1785</v>
      </c>
      <c r="G14" s="18" t="n">
        <v>1874.2</v>
      </c>
      <c r="H14" s="18" t="n">
        <v>1963.5</v>
      </c>
      <c r="I14" s="18" t="n">
        <v>2052.8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680</v>
      </c>
      <c r="D16" s="17" t="n">
        <v>850</v>
      </c>
      <c r="E16" s="17" t="n">
        <v>1020</v>
      </c>
      <c r="F16" s="17" t="n">
        <v>1133.3</v>
      </c>
      <c r="G16" s="18" t="n">
        <v>1088</v>
      </c>
      <c r="H16" s="18" t="n">
        <v>1042.7</v>
      </c>
      <c r="I16" s="18" t="n">
        <v>997.3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2466.4</v>
      </c>
      <c r="D20" s="15" t="n">
        <v>3102.8</v>
      </c>
      <c r="E20" s="15" t="n">
        <v>3500.6</v>
      </c>
      <c r="F20" s="15" t="n">
        <v>3978</v>
      </c>
      <c r="G20" s="16" t="n">
        <v>4375.8</v>
      </c>
      <c r="H20" s="16" t="n">
        <v>4694</v>
      </c>
      <c r="I20" s="16" t="n">
        <v>4972.5</v>
      </c>
    </row>
    <row r="21">
      <c r="B21" s="5" t="inlineStr">
        <is>
          <t>Capital Expenditures (Capex)</t>
        </is>
      </c>
      <c r="C21" s="17" t="n">
        <v>1019.2</v>
      </c>
      <c r="D21" s="17" t="n">
        <v>1237.6</v>
      </c>
      <c r="E21" s="17" t="n">
        <v>1383.2</v>
      </c>
      <c r="F21" s="17" t="n">
        <v>1456</v>
      </c>
      <c r="G21" s="18" t="n">
        <v>1528.8</v>
      </c>
      <c r="H21" s="18" t="n">
        <v>1485.1</v>
      </c>
      <c r="I21" s="18" t="n">
        <v>1426.9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1801.8</v>
      </c>
      <c r="D24" s="17" t="n">
        <v>2293.2</v>
      </c>
      <c r="E24" s="17" t="n">
        <v>2784.6</v>
      </c>
      <c r="F24" s="17" t="n">
        <v>3276</v>
      </c>
      <c r="G24" s="18" t="n">
        <v>3865.7</v>
      </c>
      <c r="H24" s="18" t="n">
        <v>4422.6</v>
      </c>
      <c r="I24" s="18" t="n">
        <v>4914</v>
      </c>
    </row>
    <row r="25">
      <c r="B25" s="14" t="inlineStr">
        <is>
          <t>Gross Debt (Loans + Eurobonds/Sukuk)</t>
        </is>
      </c>
      <c r="C25" s="15" t="n">
        <v>11454.6</v>
      </c>
      <c r="D25" s="15" t="n">
        <v>12397.9</v>
      </c>
      <c r="E25" s="15" t="n">
        <v>13206.5</v>
      </c>
      <c r="F25" s="15" t="n">
        <v>13476</v>
      </c>
      <c r="G25" s="16" t="n">
        <v>13206.5</v>
      </c>
      <c r="H25" s="16" t="n">
        <v>12802.2</v>
      </c>
      <c r="I25" s="16" t="n">
        <v>12128.4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2026-09-19T17:13:42Z</dcterms:modified>
</cp:coreProperties>
</file>
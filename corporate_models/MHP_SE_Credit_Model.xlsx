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0" fillId="0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MHP SE (Myronivsky Hliboprodukt)</t>
        </is>
      </c>
    </row>
    <row r="3">
      <c r="B3" s="2" t="inlineStr">
        <is>
          <t>CEMBI CEEMEA High-Yield Credit Assessment | Country: Ukraine / EU | Sector: Agribusiness / Poultry &amp; Food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MHP 6.95% 2026 USD ($550M) / 7.75% 2029</t>
        </is>
      </c>
      <c r="D6" s="4" t="inlineStr">
        <is>
          <t>S&amp;P / Moody's</t>
        </is>
      </c>
      <c r="E6" s="5" t="inlineStr">
        <is>
          <t>CCC+ / Caa2 (Fitch/Moody's)</t>
        </is>
      </c>
    </row>
    <row r="7">
      <c r="B7" s="4" t="inlineStr">
        <is>
          <t>Clean Price</t>
        </is>
      </c>
      <c r="C7" s="6" t="n">
        <v>82.5</v>
      </c>
      <c r="D7" s="4" t="inlineStr">
        <is>
          <t>Recommendation</t>
        </is>
      </c>
      <c r="E7" s="7" t="inlineStr">
        <is>
          <t>Overweight / High Conviction</t>
        </is>
      </c>
    </row>
    <row r="8">
      <c r="B8" s="4" t="inlineStr">
        <is>
          <t>Yield to Maturity (YTM)</t>
        </is>
      </c>
      <c r="C8" s="8" t="n">
        <v>0.131</v>
      </c>
      <c r="D8" s="4" t="inlineStr">
        <is>
          <t>Z-Spread</t>
        </is>
      </c>
      <c r="E8" s="5" t="inlineStr">
        <is>
          <t>+875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3100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460</v>
      </c>
      <c r="D12" s="10">
        <f>C12*0.75</f>
        <v/>
      </c>
      <c r="E12" s="11" t="inlineStr">
        <is>
          <t>Margin: 14.8% of revenue</t>
        </is>
      </c>
    </row>
    <row r="13">
      <c r="B13" s="9" t="inlineStr">
        <is>
          <t>Capital Expenditures (Capex)</t>
        </is>
      </c>
      <c r="C13" s="10" t="n">
        <v>180</v>
      </c>
      <c r="D13" s="10">
        <f>C13*0.85</f>
        <v/>
      </c>
      <c r="E13" s="11" t="inlineStr">
        <is>
          <t>Maintenance and growth capital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Equivalents</t>
        </is>
      </c>
      <c r="C15" s="10" t="n">
        <v>320</v>
      </c>
      <c r="D15" s="10">
        <f>C15*0.90</f>
        <v/>
      </c>
      <c r="E15" s="11" t="inlineStr">
        <is>
          <t>Unrestricted liquid reserves</t>
        </is>
      </c>
    </row>
    <row r="16">
      <c r="B16" s="9" t="inlineStr">
        <is>
          <t>Annual Interest Expense</t>
        </is>
      </c>
      <c r="C16" s="10" t="n">
        <v>130</v>
      </c>
      <c r="D16" s="10">
        <f>C16</f>
        <v/>
      </c>
      <c r="E16" s="11" t="inlineStr">
        <is>
          <t>Debt servicing debt load</t>
        </is>
      </c>
    </row>
    <row r="17">
      <c r="B17" s="9" t="inlineStr">
        <is>
          <t>Gross Debt</t>
        </is>
      </c>
      <c r="C17" s="10" t="n">
        <v>1650</v>
      </c>
      <c r="D17" s="10">
        <f>C17</f>
        <v/>
      </c>
      <c r="E17" s="11" t="inlineStr">
        <is>
          <t>Total outstanding bank debt &amp; Eurobonds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Debt service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Full Capacity)</t>
        </is>
      </c>
      <c r="C23" s="10" t="n">
        <v>3335</v>
      </c>
      <c r="D23" s="5" t="inlineStr">
        <is>
          <t>100%</t>
        </is>
      </c>
      <c r="E23" s="15" t="n">
        <v>97</v>
      </c>
    </row>
    <row r="24">
      <c r="B24" s="5" t="inlineStr">
        <is>
          <t>Base Case (Through-the-Cycle Multiple)</t>
        </is>
      </c>
      <c r="C24" s="10" t="n">
        <v>2900</v>
      </c>
      <c r="D24" s="5" t="inlineStr">
        <is>
          <t>100%</t>
        </is>
      </c>
      <c r="E24" s="15" t="n">
        <v>90</v>
      </c>
    </row>
    <row r="25">
      <c r="B25" s="5" t="inlineStr">
        <is>
          <t>Downside Stress Case (Trough EBITDA)</t>
        </is>
      </c>
      <c r="C25" s="10" t="n">
        <v>2030</v>
      </c>
      <c r="D25" s="5" t="inlineStr">
        <is>
          <t>100%</t>
        </is>
      </c>
      <c r="E25" s="15" t="n">
        <v>68</v>
      </c>
    </row>
    <row r="26">
      <c r="B26" s="16" t="inlineStr">
        <is>
          <t>Liquidation Floor (Hard Asset Collateral)</t>
        </is>
      </c>
      <c r="C26" s="17" t="n">
        <v>1450</v>
      </c>
      <c r="D26" s="16" t="inlineStr">
        <is>
          <t>Full Collateral Backing</t>
        </is>
      </c>
      <c r="E26" s="1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MHP SE (Myronivsky Hliboprodukt) — Debt Waterfall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Liquidity</t>
        </is>
      </c>
      <c r="C5" s="10" t="n">
        <v>320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Credit Facilities / RCF</t>
        </is>
      </c>
      <c r="C6" s="10" t="n">
        <v>577.5</v>
      </c>
      <c r="D6" s="5" t="inlineStr">
        <is>
          <t>SOFR + 325 bp</t>
        </is>
      </c>
      <c r="E6" s="5" t="inlineStr">
        <is>
          <t>2026 - 2027</t>
        </is>
      </c>
      <c r="F6" s="5" t="inlineStr">
        <is>
          <t>First Lien Asset Pledge</t>
        </is>
      </c>
    </row>
    <row r="7">
      <c r="B7" s="5" t="inlineStr">
        <is>
          <t>Senior Unsecured Eurobonds (CEMBI)</t>
        </is>
      </c>
      <c r="C7" s="10" t="n">
        <v>1072.5</v>
      </c>
      <c r="D7" s="5" t="inlineStr">
        <is>
          <t>13.1% Fixed</t>
        </is>
      </c>
      <c r="E7" s="5" t="inlineStr">
        <is>
          <t>2029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($460.0M)</t>
        </is>
      </c>
      <c r="C13" s="22" t="n">
        <v>74.8</v>
      </c>
      <c r="D13" s="23" t="n">
        <v>105</v>
      </c>
      <c r="E13" s="23" t="n">
        <v>105</v>
      </c>
      <c r="F13" s="23" t="n">
        <v>105</v>
      </c>
    </row>
    <row r="14">
      <c r="B14" s="9" t="inlineStr">
        <is>
          <t>-15% Stress (Commodity / FX Shock) ($391.0M)</t>
        </is>
      </c>
      <c r="C14" s="24" t="n">
        <v>55.5</v>
      </c>
      <c r="D14" s="22" t="n">
        <v>92</v>
      </c>
      <c r="E14" s="23" t="n">
        <v>105</v>
      </c>
      <c r="F14" s="23" t="n">
        <v>105</v>
      </c>
    </row>
    <row r="15">
      <c r="B15" s="9" t="inlineStr">
        <is>
          <t>-30% Stress (Severe Downturn) ($322.0M)</t>
        </is>
      </c>
      <c r="C15" s="24" t="n">
        <v>40</v>
      </c>
      <c r="D15" s="24" t="n">
        <v>66.2</v>
      </c>
      <c r="E15" s="23" t="n">
        <v>96.3</v>
      </c>
      <c r="F15" s="23" t="n">
        <v>105</v>
      </c>
    </row>
    <row r="16">
      <c r="B16" s="9" t="inlineStr">
        <is>
          <t>+15% Upside (Expansion Run-Rate) ($529.0M)</t>
        </is>
      </c>
      <c r="C16" s="22" t="n">
        <v>94.09999999999999</v>
      </c>
      <c r="D16" s="23" t="n">
        <v>105</v>
      </c>
      <c r="E16" s="23" t="n">
        <v>105</v>
      </c>
      <c r="F16" s="2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2026-09-18T22:13:05Z</dcterms:created>
  <dcterms:modified xmlns:dcterms="http://purl.org/dc/terms/" xmlns:xsi="http://www.w3.org/2001/XMLSchema-instance" xsi:type="dcterms:W3CDTF">2026-09-18T22:13:05Z</dcterms:modified>
</cp:coreProperties>
</file>
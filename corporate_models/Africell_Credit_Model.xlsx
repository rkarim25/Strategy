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Africell</t>
        </is>
      </c>
    </row>
    <row r="3">
      <c r="B3" s="2" t="inlineStr">
        <is>
          <t>CEMBI CEEMEA Assessment | Country: Angola | Sector: Technology | Benchmark: AFRCEL 11.45% 2028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$92.00 (11.45% YTM)</t>
        </is>
      </c>
      <c r="D6" s="4" t="inlineStr">
        <is>
          <t>B- / B3 (+710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Angola Mobile Voice &amp; 4G Data (54%), DRC (26%), Sierra Leone &amp; Gambia (20%)</t>
        </is>
      </c>
      <c r="D7" s="4" t="inlineStr">
        <is>
          <t>Recovery Floor</t>
        </is>
      </c>
      <c r="E7" s="5" t="inlineStr">
        <is>
          <t>$58.00 (Base $95.00)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$95.00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$76.50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$58.00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Africell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333.2</v>
      </c>
      <c r="D7" s="15" t="n">
        <v>401.8</v>
      </c>
      <c r="E7" s="15" t="n">
        <v>450.8</v>
      </c>
      <c r="F7" s="15" t="n">
        <v>490</v>
      </c>
      <c r="G7" s="16" t="n">
        <v>529.2</v>
      </c>
      <c r="H7" s="16" t="n">
        <v>563.5</v>
      </c>
      <c r="I7" s="16" t="n">
        <v>588</v>
      </c>
    </row>
    <row r="8">
      <c r="B8" s="5" t="inlineStr">
        <is>
          <t>Cost of Goods Sold (COGS)</t>
        </is>
      </c>
      <c r="C8" s="17" t="n">
        <v>198.9</v>
      </c>
      <c r="D8" s="17" t="n">
        <v>241.6</v>
      </c>
      <c r="E8" s="17" t="n">
        <v>264.3</v>
      </c>
      <c r="F8" s="17" t="n">
        <v>284.2</v>
      </c>
      <c r="G8" s="18" t="n">
        <v>304.1</v>
      </c>
      <c r="H8" s="18" t="n">
        <v>321.1</v>
      </c>
      <c r="I8" s="18" t="n">
        <v>335.4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29.4</v>
      </c>
      <c r="D11" s="17" t="n">
        <v>33.5</v>
      </c>
      <c r="E11" s="17" t="n">
        <v>37.5</v>
      </c>
      <c r="F11" s="17" t="n">
        <v>40.8</v>
      </c>
      <c r="G11" s="18" t="n">
        <v>43.2</v>
      </c>
      <c r="H11" s="18" t="n">
        <v>45.7</v>
      </c>
      <c r="I11" s="18" t="n">
        <v>47.3</v>
      </c>
    </row>
    <row r="12">
      <c r="B12" s="14" t="inlineStr">
        <is>
          <t>EBITDA</t>
        </is>
      </c>
      <c r="C12" s="15" t="n">
        <v>107.2</v>
      </c>
      <c r="D12" s="15" t="n">
        <v>132</v>
      </c>
      <c r="E12" s="15" t="n">
        <v>148.5</v>
      </c>
      <c r="F12" s="15" t="n">
        <v>165</v>
      </c>
      <c r="G12" s="16" t="n">
        <v>181.5</v>
      </c>
      <c r="H12" s="16" t="n">
        <v>194.7</v>
      </c>
      <c r="I12" s="16" t="n">
        <v>204.6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46.2</v>
      </c>
      <c r="D14" s="17" t="n">
        <v>50.8</v>
      </c>
      <c r="E14" s="17" t="n">
        <v>54.9</v>
      </c>
      <c r="F14" s="17" t="n">
        <v>57.7</v>
      </c>
      <c r="G14" s="18" t="n">
        <v>60.6</v>
      </c>
      <c r="H14" s="18" t="n">
        <v>63.5</v>
      </c>
      <c r="I14" s="18" t="n">
        <v>66.40000000000001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22</v>
      </c>
      <c r="D16" s="17" t="n">
        <v>27.5</v>
      </c>
      <c r="E16" s="17" t="n">
        <v>33</v>
      </c>
      <c r="F16" s="17" t="n">
        <v>36.7</v>
      </c>
      <c r="G16" s="18" t="n">
        <v>35.2</v>
      </c>
      <c r="H16" s="18" t="n">
        <v>33.7</v>
      </c>
      <c r="I16" s="18" t="n">
        <v>32.3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79.8</v>
      </c>
      <c r="D20" s="15" t="n">
        <v>100.4</v>
      </c>
      <c r="E20" s="15" t="n">
        <v>113.3</v>
      </c>
      <c r="F20" s="15" t="n">
        <v>128.7</v>
      </c>
      <c r="G20" s="16" t="n">
        <v>141.6</v>
      </c>
      <c r="H20" s="16" t="n">
        <v>151.9</v>
      </c>
      <c r="I20" s="16" t="n">
        <v>160.9</v>
      </c>
    </row>
    <row r="21">
      <c r="B21" s="5" t="inlineStr">
        <is>
          <t>Capital Expenditures (Capex)</t>
        </is>
      </c>
      <c r="C21" s="17" t="n">
        <v>27.4</v>
      </c>
      <c r="D21" s="17" t="n">
        <v>33.3</v>
      </c>
      <c r="E21" s="17" t="n">
        <v>37.2</v>
      </c>
      <c r="F21" s="17" t="n">
        <v>39.2</v>
      </c>
      <c r="G21" s="18" t="n">
        <v>41.2</v>
      </c>
      <c r="H21" s="18" t="n">
        <v>40</v>
      </c>
      <c r="I21" s="18" t="n">
        <v>38.4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48.5</v>
      </c>
      <c r="D24" s="17" t="n">
        <v>61.7</v>
      </c>
      <c r="E24" s="17" t="n">
        <v>75</v>
      </c>
      <c r="F24" s="17" t="n">
        <v>88.2</v>
      </c>
      <c r="G24" s="18" t="n">
        <v>104.1</v>
      </c>
      <c r="H24" s="18" t="n">
        <v>119.1</v>
      </c>
      <c r="I24" s="18" t="n">
        <v>132.3</v>
      </c>
    </row>
    <row r="25">
      <c r="B25" s="14" t="inlineStr">
        <is>
          <t>Gross Debt (Loans + Eurobonds/Sukuk)</t>
        </is>
      </c>
      <c r="C25" s="15" t="n">
        <v>355.5</v>
      </c>
      <c r="D25" s="15" t="n">
        <v>384.7</v>
      </c>
      <c r="E25" s="15" t="n">
        <v>409.8</v>
      </c>
      <c r="F25" s="15" t="n">
        <v>418.2</v>
      </c>
      <c r="G25" s="16" t="n">
        <v>409.8</v>
      </c>
      <c r="H25" s="16" t="n">
        <v>397.3</v>
      </c>
      <c r="I25" s="16" t="n">
        <v>376.4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2026-09-19T17:13:43Z</dcterms:created>
  <dcterms:modified xmlns:dcterms="http://purl.org/dc/terms/" xmlns:xsi="http://www.w3.org/2001/XMLSchema-instance" xsi:type="dcterms:W3CDTF">2026-09-19T17:13:43Z</dcterms:modified>
</cp:coreProperties>
</file>
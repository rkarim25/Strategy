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Zorlu Enerji</t>
        </is>
      </c>
    </row>
    <row r="3">
      <c r="B3" s="2" t="inlineStr">
        <is>
          <t>CEMBI CEEMEA Assessment | Country: Turkey | Sector: Utilities | Benchmark: ZOREN 9.00% 2026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$94.50 (11.20% YTM)</t>
        </is>
      </c>
      <c r="D6" s="4" t="inlineStr">
        <is>
          <t>B- / CCC+ (+680 bp)</t>
        </is>
      </c>
      <c r="E6" s="5" t="inlineStr">
        <is>
          <t>Selective Carry</t>
        </is>
      </c>
    </row>
    <row r="7">
      <c r="B7" s="4" t="inlineStr">
        <is>
          <t>Sector &amp; Product Mix</t>
        </is>
      </c>
      <c r="C7" s="5" t="inlineStr">
        <is>
          <t>Geothermal Power (48%), Hydro Generation (32%), Wind &amp; Solar (12%), EV Charging ZES (8%)</t>
        </is>
      </c>
      <c r="D7" s="4" t="inlineStr">
        <is>
          <t>Recovery Floor</t>
        </is>
      </c>
      <c r="E7" s="5" t="inlineStr">
        <is>
          <t>$58.00 (Base $95.00)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$95.00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$76.50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$58.00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Zorlu Enerji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816</v>
      </c>
      <c r="D7" s="15" t="n">
        <v>984</v>
      </c>
      <c r="E7" s="15" t="n">
        <v>1104</v>
      </c>
      <c r="F7" s="15" t="n">
        <v>1200</v>
      </c>
      <c r="G7" s="16" t="n">
        <v>1296</v>
      </c>
      <c r="H7" s="16" t="n">
        <v>1380</v>
      </c>
      <c r="I7" s="16" t="n">
        <v>1440</v>
      </c>
    </row>
    <row r="8">
      <c r="B8" s="5" t="inlineStr">
        <is>
          <t>Cost of Goods Sold (COGS)</t>
        </is>
      </c>
      <c r="C8" s="17" t="n">
        <v>487.2</v>
      </c>
      <c r="D8" s="17" t="n">
        <v>591.6</v>
      </c>
      <c r="E8" s="17" t="n">
        <v>647.3</v>
      </c>
      <c r="F8" s="17" t="n">
        <v>696</v>
      </c>
      <c r="G8" s="18" t="n">
        <v>744.7</v>
      </c>
      <c r="H8" s="18" t="n">
        <v>786.5</v>
      </c>
      <c r="I8" s="18" t="n">
        <v>821.3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132.5</v>
      </c>
      <c r="D11" s="17" t="n">
        <v>150.9</v>
      </c>
      <c r="E11" s="17" t="n">
        <v>169.3</v>
      </c>
      <c r="F11" s="17" t="n">
        <v>184</v>
      </c>
      <c r="G11" s="18" t="n">
        <v>195</v>
      </c>
      <c r="H11" s="18" t="n">
        <v>206.1</v>
      </c>
      <c r="I11" s="18" t="n">
        <v>213.4</v>
      </c>
    </row>
    <row r="12">
      <c r="B12" s="14" t="inlineStr">
        <is>
          <t>EBITDA</t>
        </is>
      </c>
      <c r="C12" s="15" t="n">
        <v>208</v>
      </c>
      <c r="D12" s="15" t="n">
        <v>256</v>
      </c>
      <c r="E12" s="15" t="n">
        <v>288</v>
      </c>
      <c r="F12" s="15" t="n">
        <v>320</v>
      </c>
      <c r="G12" s="16" t="n">
        <v>352</v>
      </c>
      <c r="H12" s="16" t="n">
        <v>377.6</v>
      </c>
      <c r="I12" s="16" t="n">
        <v>396.8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89.59999999999999</v>
      </c>
      <c r="D14" s="17" t="n">
        <v>98.59999999999999</v>
      </c>
      <c r="E14" s="17" t="n">
        <v>106.4</v>
      </c>
      <c r="F14" s="17" t="n">
        <v>112</v>
      </c>
      <c r="G14" s="18" t="n">
        <v>117.6</v>
      </c>
      <c r="H14" s="18" t="n">
        <v>123.2</v>
      </c>
      <c r="I14" s="18" t="n">
        <v>128.8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42.7</v>
      </c>
      <c r="D16" s="17" t="n">
        <v>53.3</v>
      </c>
      <c r="E16" s="17" t="n">
        <v>64</v>
      </c>
      <c r="F16" s="17" t="n">
        <v>71.09999999999999</v>
      </c>
      <c r="G16" s="18" t="n">
        <v>68.3</v>
      </c>
      <c r="H16" s="18" t="n">
        <v>65.40000000000001</v>
      </c>
      <c r="I16" s="18" t="n">
        <v>62.6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154.8</v>
      </c>
      <c r="D20" s="15" t="n">
        <v>194.7</v>
      </c>
      <c r="E20" s="15" t="n">
        <v>219.6</v>
      </c>
      <c r="F20" s="15" t="n">
        <v>249.6</v>
      </c>
      <c r="G20" s="16" t="n">
        <v>274.6</v>
      </c>
      <c r="H20" s="16" t="n">
        <v>294.5</v>
      </c>
      <c r="I20" s="16" t="n">
        <v>312</v>
      </c>
    </row>
    <row r="21">
      <c r="B21" s="5" t="inlineStr">
        <is>
          <t>Capital Expenditures (Capex)</t>
        </is>
      </c>
      <c r="C21" s="17" t="n">
        <v>67.2</v>
      </c>
      <c r="D21" s="17" t="n">
        <v>81.59999999999999</v>
      </c>
      <c r="E21" s="17" t="n">
        <v>91.2</v>
      </c>
      <c r="F21" s="17" t="n">
        <v>96</v>
      </c>
      <c r="G21" s="18" t="n">
        <v>100.8</v>
      </c>
      <c r="H21" s="18" t="n">
        <v>97.90000000000001</v>
      </c>
      <c r="I21" s="18" t="n">
        <v>94.09999999999999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118.8</v>
      </c>
      <c r="D24" s="17" t="n">
        <v>151.2</v>
      </c>
      <c r="E24" s="17" t="n">
        <v>183.6</v>
      </c>
      <c r="F24" s="17" t="n">
        <v>216</v>
      </c>
      <c r="G24" s="18" t="n">
        <v>254.9</v>
      </c>
      <c r="H24" s="18" t="n">
        <v>291.6</v>
      </c>
      <c r="I24" s="18" t="n">
        <v>324</v>
      </c>
    </row>
    <row r="25">
      <c r="B25" s="14" t="inlineStr">
        <is>
          <t>Gross Debt (Loans + Eurobonds/Sukuk)</t>
        </is>
      </c>
      <c r="C25" s="15" t="n">
        <v>727.6</v>
      </c>
      <c r="D25" s="15" t="n">
        <v>787.5</v>
      </c>
      <c r="E25" s="15" t="n">
        <v>838.9</v>
      </c>
      <c r="F25" s="15" t="n">
        <v>856</v>
      </c>
      <c r="G25" s="16" t="n">
        <v>838.9</v>
      </c>
      <c r="H25" s="16" t="n">
        <v>813.2</v>
      </c>
      <c r="I25" s="16" t="n">
        <v>770.4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2026-09-19T17:13:40Z</dcterms:created>
  <dcterms:modified xmlns:dcterms="http://purl.org/dc/terms/" xmlns:xsi="http://www.w3.org/2001/XMLSchema-instance" xsi:type="dcterms:W3CDTF">2026-09-19T17:13:40Z</dcterms:modified>
</cp:coreProperties>
</file>
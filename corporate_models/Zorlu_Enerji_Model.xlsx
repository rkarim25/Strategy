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Financial_Model_USD" sheetId="2" state="visible" r:id="rId2"/>
    <sheet xmlns:r="http://schemas.openxmlformats.org/officeDocument/2006/relationships" name="Debt_Structure_Waterfall" sheetId="3" state="visible" r:id="rId3"/>
    <sheet xmlns:r="http://schemas.openxmlformats.org/officeDocument/2006/relationships" name="Bond_Recovery_Model" sheetId="4" state="visible" r:id="rId4"/>
    <sheet xmlns:r="http://schemas.openxmlformats.org/officeDocument/2006/relationships" name="Mgmt_Deficit_Valuation" sheetId="5" state="visible" r:id="rId5"/>
    <sheet xmlns:r="http://schemas.openxmlformats.org/officeDocument/2006/relationships" name="Zorlu_Group_Contag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"/>
    <numFmt numFmtId="165" formatCode="-0.0%"/>
    <numFmt numFmtId="166" formatCode="($#,##0.0)"/>
    <numFmt numFmtId="167" formatCode="($#,##0.0);($#,##0.0)"/>
    <numFmt numFmtId="168" formatCode="0.00x"/>
    <numFmt numFmtId="169" formatCode="0.0%"/>
    <numFmt numFmtId="170" formatCode="+0.0%;-0.0%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E2E8F0"/>
      <sz val="10"/>
    </font>
    <font>
      <name val="Calibri"/>
      <b val="1"/>
      <color rgb="004A5568"/>
      <sz val="9"/>
    </font>
    <font>
      <name val="Calibri"/>
      <b val="1"/>
      <color rgb="009B2C2C"/>
      <sz val="14"/>
    </font>
    <font>
      <name val="Calibri"/>
      <i val="1"/>
      <color rgb="00718096"/>
      <sz val="8"/>
    </font>
    <font>
      <name val="Calibri"/>
      <b val="1"/>
      <color rgb="001B365D"/>
      <sz val="14"/>
    </font>
    <font>
      <name val="Calibri"/>
      <b val="1"/>
      <color rgb="00C05621"/>
      <sz val="14"/>
    </font>
    <font>
      <name val="Calibri"/>
      <b val="1"/>
      <color rgb="002C5282"/>
      <sz val="14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2D3748"/>
      <sz val="9"/>
    </font>
    <font>
      <name val="Calibri"/>
      <b val="1"/>
      <color rgb="001A202C"/>
      <sz val="9"/>
    </font>
    <font>
      <name val="Calibri"/>
      <b val="1"/>
      <color rgb="009B2C2C"/>
      <sz val="9"/>
    </font>
    <font>
      <name val="Calibri"/>
      <i val="1"/>
      <color rgb="00E2E8F0"/>
      <sz val="8"/>
    </font>
    <font>
      <name val="Calibri"/>
      <b val="1"/>
      <color rgb="001B365D"/>
      <sz val="10"/>
    </font>
    <font>
      <name val="Calibri"/>
      <b val="1"/>
      <color rgb="002C5282"/>
      <sz val="11"/>
    </font>
    <font>
      <name val="Calibri"/>
      <b val="1"/>
      <color rgb="009B2C2C"/>
      <sz val="10"/>
    </font>
    <font>
      <name val="Calibri"/>
      <b val="1"/>
      <color rgb="0022543D"/>
      <sz val="9"/>
    </font>
    <font>
      <name val="Calibri"/>
      <i val="1"/>
      <color rgb="001A365D"/>
      <sz val="9"/>
    </font>
  </fonts>
  <fills count="13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DF2F7"/>
        <bgColor rgb="00EDF2F7"/>
      </patternFill>
    </fill>
    <fill>
      <patternFill patternType="solid">
        <fgColor rgb="002C5282"/>
        <bgColor rgb="002C5282"/>
      </patternFill>
    </fill>
    <fill>
      <patternFill patternType="solid">
        <fgColor rgb="002D3748"/>
        <bgColor rgb="002D3748"/>
      </patternFill>
    </fill>
    <fill>
      <patternFill patternType="solid">
        <fgColor rgb="00F7FAFC"/>
        <bgColor rgb="00F7FAFC"/>
      </patternFill>
    </fill>
    <fill>
      <patternFill patternType="solid">
        <fgColor rgb="00FEFCBF"/>
        <bgColor rgb="00FEFCBF"/>
      </patternFill>
    </fill>
    <fill>
      <patternFill patternType="solid">
        <fgColor rgb="00FFF5F5"/>
        <bgColor rgb="00FFF5F5"/>
      </patternFill>
    </fill>
    <fill>
      <patternFill patternType="solid">
        <fgColor rgb="00EBF8FF"/>
        <bgColor rgb="00EBF8FF"/>
      </patternFill>
    </fill>
    <fill>
      <patternFill patternType="solid">
        <fgColor rgb="00BEE3F8"/>
        <bgColor rgb="00BEE3F8"/>
      </patternFill>
    </fill>
    <fill>
      <patternFill patternType="solid">
        <fgColor rgb="00F0FFF4"/>
        <bgColor rgb="00F0FFF4"/>
      </patternFill>
    </fill>
    <fill>
      <patternFill patternType="solid">
        <fgColor rgb="00FED7D7"/>
        <bgColor rgb="00FED7D7"/>
      </patternFill>
    </fill>
  </fills>
  <borders count="3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 style="thin">
        <color rgb="00CBD5E0"/>
      </left>
      <right style="thin">
        <color rgb="00CBD5E0"/>
      </right>
      <top style="medium">
        <color rgb="001A202C"/>
      </top>
      <bottom style="double">
        <color rgb="001A202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inden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0" fillId="5" borderId="0" pivotButton="0" quotePrefix="0" xfId="0"/>
    <xf numFmtId="0" fontId="11" fillId="0" borderId="1" applyAlignment="1" pivotButton="0" quotePrefix="0" xfId="0">
      <alignment horizontal="left" vertical="center"/>
    </xf>
    <xf numFmtId="164" fontId="11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left" vertical="center"/>
    </xf>
    <xf numFmtId="164" fontId="12" fillId="3" borderId="2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164" fontId="12" fillId="7" borderId="1" applyAlignment="1" pivotButton="0" quotePrefix="0" xfId="0">
      <alignment horizontal="right" vertical="center"/>
    </xf>
    <xf numFmtId="166" fontId="11" fillId="0" borderId="1" applyAlignment="1" pivotButton="0" quotePrefix="0" xfId="0">
      <alignment horizontal="right" vertical="center"/>
    </xf>
    <xf numFmtId="167" fontId="13" fillId="8" borderId="2" applyAlignment="1" pivotButton="0" quotePrefix="0" xfId="0">
      <alignment horizontal="right" vertical="center"/>
    </xf>
    <xf numFmtId="168" fontId="12" fillId="0" borderId="1" applyAlignment="1" pivotButton="0" quotePrefix="0" xfId="0">
      <alignment horizontal="right" vertical="center"/>
    </xf>
    <xf numFmtId="168" fontId="12" fillId="3" borderId="1" applyAlignment="1" pivotButton="0" quotePrefix="0" xfId="0">
      <alignment horizontal="right" vertical="center"/>
    </xf>
    <xf numFmtId="168" fontId="12" fillId="8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2" fontId="11" fillId="0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/>
    </xf>
    <xf numFmtId="0" fontId="12" fillId="3" borderId="2" pivotButton="0" quotePrefix="0" xfId="0"/>
    <xf numFmtId="0" fontId="0" fillId="3" borderId="2" pivotButton="0" quotePrefix="0" xfId="0"/>
    <xf numFmtId="0" fontId="5" fillId="3" borderId="2" pivotButton="0" quotePrefix="0" xfId="0"/>
    <xf numFmtId="0" fontId="10" fillId="5" borderId="2" pivotButton="0" quotePrefix="0" xfId="0"/>
    <xf numFmtId="0" fontId="0" fillId="5" borderId="2" pivotButton="0" quotePrefix="0" xfId="0"/>
    <xf numFmtId="164" fontId="10" fillId="5" borderId="2" applyAlignment="1" pivotButton="0" quotePrefix="0" xfId="0">
      <alignment horizontal="right" vertical="center"/>
    </xf>
    <xf numFmtId="0" fontId="14" fillId="5" borderId="2" pivotButton="0" quotePrefix="0" xfId="0"/>
    <xf numFmtId="0" fontId="11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12" fillId="3" borderId="2" applyAlignment="1" pivotButton="0" quotePrefix="0" xfId="0">
      <alignment horizontal="right" vertical="center"/>
    </xf>
    <xf numFmtId="169" fontId="15" fillId="9" borderId="2" applyAlignment="1" pivotButton="0" quotePrefix="0" xfId="0">
      <alignment horizontal="right" vertical="center"/>
    </xf>
    <xf numFmtId="164" fontId="16" fillId="10" borderId="2" applyAlignment="1" pivotButton="0" quotePrefix="0" xfId="0">
      <alignment horizontal="right" vertical="center"/>
    </xf>
    <xf numFmtId="164" fontId="17" fillId="8" borderId="1" applyAlignment="1" pivotButton="0" quotePrefix="0" xfId="0">
      <alignment horizontal="right" vertical="center"/>
    </xf>
    <xf numFmtId="170" fontId="13" fillId="8" borderId="2" applyAlignment="1" pivotButton="0" quotePrefix="0" xfId="0">
      <alignment horizontal="right" vertical="center"/>
    </xf>
    <xf numFmtId="170" fontId="18" fillId="11" borderId="2" applyAlignment="1" pivotButton="0" quotePrefix="0" xfId="0">
      <alignment horizontal="right" vertical="center"/>
    </xf>
    <xf numFmtId="0" fontId="13" fillId="8" borderId="1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center" vertical="center"/>
    </xf>
    <xf numFmtId="164" fontId="12" fillId="11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12" borderId="1" applyAlignment="1" pivotButton="0" quotePrefix="0" xfId="0">
      <alignment horizontal="right" vertical="center"/>
    </xf>
    <xf numFmtId="164" fontId="12" fillId="8" borderId="1" applyAlignment="1" pivotButton="0" quotePrefix="0" xfId="0">
      <alignment horizontal="right" vertical="center"/>
    </xf>
    <xf numFmtId="0" fontId="19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40" customWidth="1" min="3" max="3"/>
    <col width="40" customWidth="1" min="4" max="4"/>
  </cols>
  <sheetData>
    <row r="1" ht="28" customHeight="1">
      <c r="A1" s="1" t="inlineStr">
        <is>
          <t>ZORLU ENERJİ ELEKTRİK ÜRETİM A.Ş. — DISTRESSED CREDIT ASSESSMENT &amp; RECOVERY MODEL</t>
        </is>
      </c>
    </row>
    <row r="2" ht="18" customHeight="1">
      <c r="A2" s="2" t="inlineStr">
        <is>
          <t>Distressed Credit Assessment, Debt Restructuring Waterfall, Recovery Modeling &amp; Conglomerate Contagion</t>
        </is>
      </c>
    </row>
    <row r="4" ht="18" customHeight="1">
      <c r="A4" s="3" t="inlineStr">
        <is>
          <t>Eurobond Price (XS2926261426)</t>
        </is>
      </c>
      <c r="B4" s="4" t="n"/>
      <c r="C4" s="3" t="inlineStr">
        <is>
          <t>Company Rep. USD EBITDA (FY25)</t>
        </is>
      </c>
      <c r="D4" s="4" t="n"/>
      <c r="E4" s="3" t="inlineStr">
        <is>
          <t>Gross / Net Financial Debt</t>
        </is>
      </c>
      <c r="F4" s="4" t="n"/>
      <c r="G4" s="3" t="inlineStr">
        <is>
          <t>Base Case Recovery Estimate</t>
        </is>
      </c>
      <c r="H4" s="4" t="n"/>
      <c r="I4" s="3" t="inlineStr">
        <is>
          <t>Advisers Appointed (Sep 2026)</t>
        </is>
      </c>
      <c r="J4" s="4" t="n"/>
      <c r="K4" s="4" t="n"/>
    </row>
    <row r="5" ht="24" customHeight="1">
      <c r="A5" s="5" t="inlineStr">
        <is>
          <t>63.50</t>
        </is>
      </c>
      <c r="B5" s="4" t="n"/>
      <c r="C5" s="6" t="inlineStr">
        <is>
          <t>$305.8M</t>
        </is>
      </c>
      <c r="D5" s="4" t="n"/>
      <c r="E5" s="7" t="inlineStr">
        <is>
          <t>$1,480M / $1,250M</t>
        </is>
      </c>
      <c r="F5" s="4" t="n"/>
      <c r="G5" s="8" t="inlineStr">
        <is>
          <t>66.2%</t>
        </is>
      </c>
      <c r="H5" s="4" t="n"/>
      <c r="I5" s="5" t="inlineStr">
        <is>
          <t>Houlihan &amp; Servo</t>
        </is>
      </c>
      <c r="J5" s="4" t="n"/>
      <c r="K5" s="4" t="n"/>
    </row>
    <row r="6" ht="18" customHeight="1">
      <c r="A6" s="9" t="inlineStr">
        <is>
          <t>Cents on Dollar (Yield ~27.2%)</t>
        </is>
      </c>
      <c r="B6" s="4" t="n"/>
      <c r="C6" s="9" t="inlineStr">
        <is>
          <t>Normalized Run-rate ~$260-280M</t>
        </is>
      </c>
      <c r="D6" s="4" t="n"/>
      <c r="E6" s="9" t="inlineStr">
        <is>
          <t>LTM Net Leverage ~4.7x</t>
        </is>
      </c>
      <c r="F6" s="4" t="n"/>
      <c r="G6" s="9" t="inlineStr">
        <is>
          <t>Value Range: 49.5% - 81.4%</t>
        </is>
      </c>
      <c r="H6" s="4" t="n"/>
      <c r="I6" s="9" t="inlineStr">
        <is>
          <t>Vestel Restructuring in Parallel</t>
        </is>
      </c>
      <c r="J6" s="4" t="n"/>
      <c r="K6" s="4" t="n"/>
    </row>
    <row r="8" ht="20" customHeight="1">
      <c r="A8" s="10" t="inlineStr">
        <is>
          <t>1. EXECUTIVE CREDIT THESIS &amp; SITUATION OVERVIEW</t>
        </is>
      </c>
    </row>
    <row r="9">
      <c r="A9" s="11" t="inlineStr">
        <is>
          <t>Metric / Event</t>
        </is>
      </c>
      <c r="B9" s="11" t="inlineStr">
        <is>
          <t>Current State / Observation</t>
        </is>
      </c>
      <c r="C9" s="11" t="inlineStr">
        <is>
          <t>Credit Impact &amp; Assessment</t>
        </is>
      </c>
      <c r="D9" s="11" t="inlineStr">
        <is>
          <t>Strategic / Valuation Implication</t>
        </is>
      </c>
    </row>
    <row r="10" ht="38" customHeight="1">
      <c r="A10" s="12" t="inlineStr">
        <is>
          <t>Eurobond Distress</t>
        </is>
      </c>
      <c r="B10" s="12" t="inlineStr">
        <is>
          <t>XS2926261426 (11% 2030) plunged from 75 to ~63 cents (YTM &gt;27%).</t>
        </is>
      </c>
      <c r="C10" s="12" t="inlineStr">
        <is>
          <t>Market pricing imminent restructuring / reprofiling. Annual coupon alone is $121M on $1.1B.</t>
        </is>
      </c>
      <c r="D10" s="12" t="inlineStr">
        <is>
          <t>Asymmetric upside if recovered at base case (66c); capital loss if prolonged DIP / haircut.</t>
        </is>
      </c>
    </row>
    <row r="11" ht="38" customHeight="1">
      <c r="A11" s="13" t="inlineStr">
        <is>
          <t>Advisers Appointed</t>
        </is>
      </c>
      <c r="B11" s="13" t="inlineStr">
        <is>
          <t>Houlihan Lokey &amp; Servo Capital hired in mid-Sep 2026. Mgmt canceled JPM London roadshow.</t>
        </is>
      </c>
      <c r="C11" s="13" t="inlineStr">
        <is>
          <t>Formal signal of comprehensive liability management. Unsecured bondholders face maturity push / haircut.</t>
        </is>
      </c>
      <c r="D11" s="13" t="inlineStr">
        <is>
          <t>Credibility reached all-time low with sudden conference cancellation.</t>
        </is>
      </c>
    </row>
    <row r="12" ht="38" customHeight="1">
      <c r="A12" s="12" t="inlineStr">
        <is>
          <t>ADB Loan (Aug 2026)</t>
        </is>
      </c>
      <c r="B12" s="12" t="inlineStr">
        <is>
          <t>TRY 3,979.76M (~$115M) approved for OEDAŞ distribution grid upgrade.</t>
        </is>
      </c>
      <c r="C12" s="12" t="inlineStr">
        <is>
          <t>Concessional local-currency DFI funding rings fences grid, but sits at OpCo level (structural subordination).</t>
        </is>
      </c>
      <c r="D12" s="12" t="inlineStr">
        <is>
          <t>Protects utility asset value but absorbs OpCo cash flows ahead of HoldCo Eurobonds.</t>
        </is>
      </c>
    </row>
    <row r="13" ht="38" customHeight="1">
      <c r="A13" s="13" t="inlineStr">
        <is>
          <t>Group Contagion</t>
        </is>
      </c>
      <c r="B13" s="13" t="inlineStr">
        <is>
          <t>Parent Zorlu Holding restructuring $3.2B-$4.9B; Vestel hired Houlihan in July 2026.</t>
        </is>
      </c>
      <c r="C13" s="13" t="inlineStr">
        <is>
          <t>Severe conglomerate liquidity squeeze. Turkish banks hit single-group exposure limits; share pledge risks.</t>
        </is>
      </c>
      <c r="D13" s="13" t="inlineStr">
        <is>
          <t>Zorlu Enerji cannot rely on parent support; potential risk of upstream cash leakage to parent.</t>
        </is>
      </c>
    </row>
    <row r="14" ht="38" customHeight="1">
      <c r="A14" s="12" t="inlineStr">
        <is>
          <t>EBITDA Distortion</t>
        </is>
      </c>
      <c r="B14" s="12" t="inlineStr">
        <is>
          <t>Reported TRY EBITDA 13,094M vs Mgmt USD EBITDA $305.8M. Inflation accounting (TMS 29) masks cash.</t>
        </is>
      </c>
      <c r="C14" s="12" t="inlineStr">
        <is>
          <t>Depreciation revaluation and monetary gain/loss distort IFRS net income. Cash interest eats &gt;60% of EBITDA.</t>
        </is>
      </c>
      <c r="D14" s="12" t="inlineStr">
        <is>
          <t>True credit analysis must rely on USD operational cash flow, not TMS 29 TRY net income.</t>
        </is>
      </c>
    </row>
    <row r="15" ht="38" customHeight="1">
      <c r="A15" s="13" t="inlineStr">
        <is>
          <t>Recovery Floor</t>
        </is>
      </c>
      <c r="B15" s="13" t="inlineStr">
        <is>
          <t>Regulated RAB (OEDAŞ) + 990 MW renewable fleet (Geothermal/Hydro) hold solid intrinsic value.</t>
        </is>
      </c>
      <c r="C15" s="13" t="inlineStr">
        <is>
          <t>Sum-of-the-parts EV estimated at $1.35B-$1.50B. Senior OpCo debt ($330M) covered 100%.</t>
        </is>
      </c>
      <c r="D15" s="13" t="inlineStr">
        <is>
          <t>Unsecured Eurobond coverage waterfall provides a recovery floor of 50-68 cents.</t>
        </is>
      </c>
    </row>
  </sheetData>
  <mergeCells count="18">
    <mergeCell ref="A4:B4"/>
    <mergeCell ref="G4:H4"/>
    <mergeCell ref="E4:F4"/>
    <mergeCell ref="E6:F6"/>
    <mergeCell ref="C6:D6"/>
    <mergeCell ref="I6:K6"/>
    <mergeCell ref="I5:K5"/>
    <mergeCell ref="C5:D5"/>
    <mergeCell ref="A5:B5"/>
    <mergeCell ref="A2:K2"/>
    <mergeCell ref="E5:F5"/>
    <mergeCell ref="G5:H5"/>
    <mergeCell ref="A8:K8"/>
    <mergeCell ref="G6:H6"/>
    <mergeCell ref="I4:K4"/>
    <mergeCell ref="A1:K1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1" t="inlineStr">
        <is>
          <t>ZORLU ENERJİ — HISTORICAL &amp; PROJECTED FINANCIAL SUMMARY (USD MILLIONS)</t>
        </is>
      </c>
    </row>
    <row r="3">
      <c r="A3" s="14" t="inlineStr">
        <is>
          <t>Line Item (US$ Millions unless stated)</t>
        </is>
      </c>
      <c r="B3" s="11" t="inlineStr">
        <is>
          <t>2022A</t>
        </is>
      </c>
      <c r="C3" s="11" t="inlineStr">
        <is>
          <t>2023A</t>
        </is>
      </c>
      <c r="D3" s="11" t="inlineStr">
        <is>
          <t>2024A</t>
        </is>
      </c>
      <c r="E3" s="11" t="inlineStr">
        <is>
          <t>2025A</t>
        </is>
      </c>
      <c r="F3" s="11" t="inlineStr">
        <is>
          <t>1H 2026A</t>
        </is>
      </c>
      <c r="G3" s="11" t="inlineStr">
        <is>
          <t>2026E</t>
        </is>
      </c>
      <c r="H3" s="11" t="inlineStr">
        <is>
          <t>2027E</t>
        </is>
      </c>
      <c r="I3" s="11" t="inlineStr">
        <is>
          <t>2028E</t>
        </is>
      </c>
    </row>
    <row r="4" ht="19" customHeight="1">
      <c r="A4" s="10" t="inlineStr">
        <is>
          <t>COMPANY REPORTED OPERATIONAL USD PERFORMANCE</t>
        </is>
      </c>
    </row>
    <row r="5" ht="19" customHeight="1">
      <c r="A5" s="15" t="inlineStr">
        <is>
          <t>Distribution &amp; Retail EBITDA (OEDAŞ / OEPSAŞ)</t>
        </is>
      </c>
      <c r="B5" s="16" t="n">
        <v>145</v>
      </c>
      <c r="C5" s="16" t="n">
        <v>155</v>
      </c>
      <c r="D5" s="16" t="n">
        <v>168</v>
      </c>
      <c r="E5" s="16" t="n">
        <v>172.5</v>
      </c>
      <c r="F5" s="16" t="n">
        <v>82</v>
      </c>
      <c r="G5" s="16" t="n">
        <v>160</v>
      </c>
      <c r="H5" s="16" t="n">
        <v>170</v>
      </c>
      <c r="I5" s="16" t="n">
        <v>180</v>
      </c>
    </row>
    <row r="6" ht="19" customHeight="1">
      <c r="A6" s="15" t="inlineStr">
        <is>
          <t>Renewable Generation EBITDA (Geothermal/Hydro/Wind)</t>
        </is>
      </c>
      <c r="B6" s="16" t="n">
        <v>120</v>
      </c>
      <c r="C6" s="16" t="n">
        <v>115</v>
      </c>
      <c r="D6" s="16" t="n">
        <v>140</v>
      </c>
      <c r="E6" s="16" t="n">
        <v>110</v>
      </c>
      <c r="F6" s="16" t="n">
        <v>48</v>
      </c>
      <c r="G6" s="16" t="n">
        <v>95</v>
      </c>
      <c r="H6" s="16" t="n">
        <v>105</v>
      </c>
      <c r="I6" s="16" t="n">
        <v>115</v>
      </c>
    </row>
    <row r="7" ht="19" customHeight="1">
      <c r="A7" s="15" t="inlineStr">
        <is>
          <t>Other / EV Charging (ZES) &amp; International</t>
        </is>
      </c>
      <c r="B7" s="16" t="n">
        <v>35</v>
      </c>
      <c r="C7" s="16" t="n">
        <v>30</v>
      </c>
      <c r="D7" s="16" t="n">
        <v>65</v>
      </c>
      <c r="E7" s="16" t="n">
        <v>23.3</v>
      </c>
      <c r="F7" s="16" t="n">
        <v>10</v>
      </c>
      <c r="G7" s="16" t="n">
        <v>10</v>
      </c>
      <c r="H7" s="16" t="n">
        <v>15</v>
      </c>
      <c r="I7" s="16" t="n">
        <v>20</v>
      </c>
    </row>
    <row r="8" ht="19" customHeight="1">
      <c r="A8" s="17" t="inlineStr">
        <is>
          <t>Total Company Reported USD EBITDA</t>
        </is>
      </c>
      <c r="B8" s="18">
        <f>SUM(B5:B7)</f>
        <v/>
      </c>
      <c r="C8" s="18">
        <f>SUM(C5:C7)</f>
        <v/>
      </c>
      <c r="D8" s="18">
        <f>SUM(D5:D7)</f>
        <v/>
      </c>
      <c r="E8" s="18">
        <f>SUM(E5:E7)</f>
        <v/>
      </c>
      <c r="F8" s="18">
        <f>SUM(F5:F7)</f>
        <v/>
      </c>
      <c r="G8" s="18">
        <f>SUM(G5:G7)</f>
        <v/>
      </c>
      <c r="H8" s="18">
        <f>SUM(H5:H7)</f>
        <v/>
      </c>
      <c r="I8" s="18">
        <f>SUM(I5:I7)</f>
        <v/>
      </c>
    </row>
    <row r="9" ht="19" customHeight="1">
      <c r="A9" s="15" t="inlineStr">
        <is>
          <t>Management Credibility Haircut (Applied by Credit Model)</t>
        </is>
      </c>
      <c r="B9" s="19" t="n"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-0.15</v>
      </c>
      <c r="H9" s="19" t="n">
        <v>-0.15</v>
      </c>
      <c r="I9" s="19" t="n">
        <v>-0.15</v>
      </c>
    </row>
    <row r="10" ht="19" customHeight="1">
      <c r="A10" s="17" t="inlineStr">
        <is>
          <t>Adjusted Operational USD EBITDA (Underwriter Basis)</t>
        </is>
      </c>
      <c r="B10" s="20">
        <f>B8*(1+B9)</f>
        <v/>
      </c>
      <c r="C10" s="20">
        <f>C8*(1+C9)</f>
        <v/>
      </c>
      <c r="D10" s="20">
        <f>D8*(1+D9)</f>
        <v/>
      </c>
      <c r="E10" s="20">
        <f>E8*(1+E9)</f>
        <v/>
      </c>
      <c r="F10" s="20">
        <f>F8</f>
        <v/>
      </c>
      <c r="G10" s="20">
        <f>G8*(1+G9)</f>
        <v/>
      </c>
      <c r="H10" s="20">
        <f>H8*(1+H9)</f>
        <v/>
      </c>
      <c r="I10" s="20">
        <f>I8*(1+I9)</f>
        <v/>
      </c>
    </row>
    <row r="11" ht="19" customHeight="1">
      <c r="A11" s="10" t="inlineStr">
        <is>
          <t>CASH FLOW WATERFALL &amp; DEBT SERVICE</t>
        </is>
      </c>
    </row>
    <row r="12" ht="19" customHeight="1">
      <c r="A12" s="15" t="inlineStr">
        <is>
          <t>Adjusted Operational EBITDA</t>
        </is>
      </c>
      <c r="B12" s="16">
        <f>B10</f>
        <v/>
      </c>
      <c r="C12" s="16">
        <f>C10</f>
        <v/>
      </c>
      <c r="D12" s="16">
        <f>D10</f>
        <v/>
      </c>
      <c r="E12" s="16">
        <f>E10</f>
        <v/>
      </c>
      <c r="F12" s="16">
        <f>F10*2</f>
        <v/>
      </c>
      <c r="G12" s="16">
        <f>G10</f>
        <v/>
      </c>
      <c r="H12" s="16">
        <f>H10</f>
        <v/>
      </c>
      <c r="I12" s="16">
        <f>I10</f>
        <v/>
      </c>
    </row>
    <row r="13" ht="19" customHeight="1">
      <c r="A13" s="15" t="inlineStr">
        <is>
          <t>Maintenance &amp; Regulatory Capex</t>
        </is>
      </c>
      <c r="B13" s="21" t="n">
        <v>-95</v>
      </c>
      <c r="C13" s="21" t="n">
        <v>-110</v>
      </c>
      <c r="D13" s="21" t="n">
        <v>-135</v>
      </c>
      <c r="E13" s="21" t="n">
        <v>-115</v>
      </c>
      <c r="F13" s="21" t="n">
        <v>-55</v>
      </c>
      <c r="G13" s="21" t="n">
        <v>-110</v>
      </c>
      <c r="H13" s="21" t="n">
        <v>-100</v>
      </c>
      <c r="I13" s="21" t="n">
        <v>-95</v>
      </c>
    </row>
    <row r="14" ht="19" customHeight="1">
      <c r="A14" s="15" t="inlineStr">
        <is>
          <t>Cash Taxes &amp; Working Capital Change</t>
        </is>
      </c>
      <c r="B14" s="21" t="n">
        <v>-20</v>
      </c>
      <c r="C14" s="21" t="n">
        <v>-18</v>
      </c>
      <c r="D14" s="21" t="n">
        <v>-25</v>
      </c>
      <c r="E14" s="21" t="n">
        <v>-15</v>
      </c>
      <c r="F14" s="21" t="n">
        <v>-8</v>
      </c>
      <c r="G14" s="21" t="n">
        <v>-12</v>
      </c>
      <c r="H14" s="21" t="n">
        <v>-15</v>
      </c>
      <c r="I14" s="21" t="n">
        <v>-18</v>
      </c>
    </row>
    <row r="15" ht="19" customHeight="1">
      <c r="A15" s="17" t="inlineStr">
        <is>
          <t>Operating Free Cash Flow before Interest</t>
        </is>
      </c>
      <c r="B15" s="18">
        <f>SUM(B12:B14)</f>
        <v/>
      </c>
      <c r="C15" s="18">
        <f>SUM(C12:C14)</f>
        <v/>
      </c>
      <c r="D15" s="18">
        <f>SUM(D12:D14)</f>
        <v/>
      </c>
      <c r="E15" s="18">
        <f>SUM(E12:E14)</f>
        <v/>
      </c>
      <c r="F15" s="18">
        <f>SUM(F12:F14)</f>
        <v/>
      </c>
      <c r="G15" s="18">
        <f>SUM(G12:G14)</f>
        <v/>
      </c>
      <c r="H15" s="18">
        <f>SUM(H12:H14)</f>
        <v/>
      </c>
      <c r="I15" s="18">
        <f>SUM(I12:I14)</f>
        <v/>
      </c>
    </row>
    <row r="16" ht="19" customHeight="1">
      <c r="A16" s="15" t="inlineStr">
        <is>
          <t>Net Cash Interest Expense (Eurobond $121M + Bank debt)</t>
        </is>
      </c>
      <c r="B16" s="21" t="n">
        <v>-145</v>
      </c>
      <c r="C16" s="21" t="n">
        <v>-160</v>
      </c>
      <c r="D16" s="21" t="n">
        <v>-175</v>
      </c>
      <c r="E16" s="21" t="n">
        <v>-188</v>
      </c>
      <c r="F16" s="21" t="n">
        <v>-92</v>
      </c>
      <c r="G16" s="21" t="n">
        <v>-185</v>
      </c>
      <c r="H16" s="21" t="n">
        <v>-180</v>
      </c>
      <c r="I16" s="21" t="n">
        <v>-170</v>
      </c>
    </row>
    <row r="17" ht="19" customHeight="1">
      <c r="A17" s="17" t="inlineStr">
        <is>
          <t>Levered Free Cash Flow (Cash Burn)</t>
        </is>
      </c>
      <c r="B17" s="22">
        <f>SUM(B15:B16)</f>
        <v/>
      </c>
      <c r="C17" s="22">
        <f>SUM(C15:C16)</f>
        <v/>
      </c>
      <c r="D17" s="22">
        <f>SUM(D15:D16)</f>
        <v/>
      </c>
      <c r="E17" s="22">
        <f>SUM(E15:E16)</f>
        <v/>
      </c>
      <c r="F17" s="22">
        <f>SUM(F15:F16)</f>
        <v/>
      </c>
      <c r="G17" s="22">
        <f>SUM(G15:G16)</f>
        <v/>
      </c>
      <c r="H17" s="22">
        <f>SUM(H15:H16)</f>
        <v/>
      </c>
      <c r="I17" s="22">
        <f>SUM(I15:I16)</f>
        <v/>
      </c>
    </row>
    <row r="18" ht="19" customHeight="1">
      <c r="A18" s="10" t="inlineStr">
        <is>
          <t>BALANCE SHEET, DEBT &amp; LEVERAGE METRICS</t>
        </is>
      </c>
    </row>
    <row r="19" ht="19" customHeight="1">
      <c r="A19" s="15" t="inlineStr">
        <is>
          <t>Gross Financial Debt (USD mn)</t>
        </is>
      </c>
      <c r="B19" s="16" t="n">
        <v>1520</v>
      </c>
      <c r="C19" s="16" t="n">
        <v>1610</v>
      </c>
      <c r="D19" s="16" t="n">
        <v>1580</v>
      </c>
      <c r="E19" s="16" t="n">
        <v>1420</v>
      </c>
      <c r="F19" s="16" t="n">
        <v>1480</v>
      </c>
      <c r="G19" s="16" t="n">
        <v>1450</v>
      </c>
      <c r="H19" s="16" t="n">
        <v>1410</v>
      </c>
      <c r="I19" s="16" t="n">
        <v>1350</v>
      </c>
    </row>
    <row r="20" ht="19" customHeight="1">
      <c r="A20" s="15" t="inlineStr">
        <is>
          <t>Cash &amp; Equivalents (USD mn)</t>
        </is>
      </c>
      <c r="B20" s="16" t="n">
        <v>180</v>
      </c>
      <c r="C20" s="16" t="n">
        <v>260</v>
      </c>
      <c r="D20" s="16" t="n">
        <v>230</v>
      </c>
      <c r="E20" s="16" t="n">
        <v>252</v>
      </c>
      <c r="F20" s="16" t="n">
        <v>230</v>
      </c>
      <c r="G20" s="16" t="n">
        <v>210</v>
      </c>
      <c r="H20" s="16" t="n">
        <v>190</v>
      </c>
      <c r="I20" s="16" t="n">
        <v>180</v>
      </c>
    </row>
    <row r="21" ht="19" customHeight="1">
      <c r="A21" s="17" t="inlineStr">
        <is>
          <t>Net Financial Debt (USD mn)</t>
        </is>
      </c>
      <c r="B21" s="18">
        <f>B19-B20</f>
        <v/>
      </c>
      <c r="C21" s="18">
        <f>C19-C20</f>
        <v/>
      </c>
      <c r="D21" s="18">
        <f>D19-D20</f>
        <v/>
      </c>
      <c r="E21" s="18">
        <f>E19-E20</f>
        <v/>
      </c>
      <c r="F21" s="18">
        <f>F19-F20</f>
        <v/>
      </c>
      <c r="G21" s="18">
        <f>G19-G20</f>
        <v/>
      </c>
      <c r="H21" s="18">
        <f>H19-H20</f>
        <v/>
      </c>
      <c r="I21" s="18">
        <f>I19-I20</f>
        <v/>
      </c>
    </row>
    <row r="22" ht="19" customHeight="1">
      <c r="A22" s="15" t="inlineStr">
        <is>
          <t>Gross Debt / Rep. USD EBITDA (x)</t>
        </is>
      </c>
      <c r="B22" s="23">
        <f>B19/B8</f>
        <v/>
      </c>
      <c r="C22" s="23">
        <f>C19/C8</f>
        <v/>
      </c>
      <c r="D22" s="23">
        <f>D19/D8</f>
        <v/>
      </c>
      <c r="E22" s="23">
        <f>E19/E8</f>
        <v/>
      </c>
      <c r="F22" s="23">
        <f>F19/(F8*2)</f>
        <v/>
      </c>
      <c r="G22" s="23">
        <f>G19/G8</f>
        <v/>
      </c>
      <c r="H22" s="23">
        <f>H19/H8</f>
        <v/>
      </c>
      <c r="I22" s="23">
        <f>I19/I8</f>
        <v/>
      </c>
    </row>
    <row r="23" ht="19" customHeight="1">
      <c r="A23" s="15" t="inlineStr">
        <is>
          <t>Net Debt / Rep. USD EBITDA (x)</t>
        </is>
      </c>
      <c r="B23" s="23">
        <f>B21/B8</f>
        <v/>
      </c>
      <c r="C23" s="23">
        <f>C21/C8</f>
        <v/>
      </c>
      <c r="D23" s="23">
        <f>D21/D8</f>
        <v/>
      </c>
      <c r="E23" s="23">
        <f>E21/E8</f>
        <v/>
      </c>
      <c r="F23" s="23">
        <f>F21/(F8*2)</f>
        <v/>
      </c>
      <c r="G23" s="23">
        <f>G21/G8</f>
        <v/>
      </c>
      <c r="H23" s="23">
        <f>H21/H8</f>
        <v/>
      </c>
      <c r="I23" s="23">
        <f>I21/I8</f>
        <v/>
      </c>
    </row>
    <row r="24" ht="19" customHeight="1">
      <c r="A24" s="15" t="inlineStr">
        <is>
          <t>EBITDA Interest Coverage Ratio (x)</t>
        </is>
      </c>
      <c r="B24" s="24">
        <f>B8/(-B16)</f>
        <v/>
      </c>
      <c r="C24" s="24">
        <f>C8/(-C16)</f>
        <v/>
      </c>
      <c r="D24" s="24">
        <f>D8/(-D16)</f>
        <v/>
      </c>
      <c r="E24" s="25">
        <f>E8/(-E16)</f>
        <v/>
      </c>
      <c r="F24" s="25">
        <f>F8*2/(-F16*2)</f>
        <v/>
      </c>
      <c r="G24" s="25">
        <f>G8/(-G16)</f>
        <v/>
      </c>
      <c r="H24" s="25">
        <f>H8/(-H16)</f>
        <v/>
      </c>
      <c r="I24" s="25">
        <f>I8/(-I16)</f>
        <v/>
      </c>
    </row>
    <row r="25" ht="19" customHeight="1">
      <c r="A25" s="10" t="inlineStr">
        <is>
          <t>REPORTED FINANCIAL STATEMENT METRICS (TRY TMS 29 HYPERINFLATION)</t>
        </is>
      </c>
    </row>
    <row r="26" ht="19" customHeight="1">
      <c r="A26" s="15" t="inlineStr">
        <is>
          <t>Reported Revenue (TRY mn)</t>
        </is>
      </c>
      <c r="B26" s="26" t="n">
        <v>18500</v>
      </c>
      <c r="C26" s="26" t="n">
        <v>24100</v>
      </c>
      <c r="D26" s="26" t="n">
        <v>31200</v>
      </c>
      <c r="E26" s="26" t="n">
        <v>34500</v>
      </c>
      <c r="F26" s="26" t="n">
        <v>13000</v>
      </c>
      <c r="G26" s="26" t="n">
        <v>29000</v>
      </c>
      <c r="H26" s="26" t="n">
        <v>34000</v>
      </c>
      <c r="I26" s="26" t="n">
        <v>39000</v>
      </c>
    </row>
    <row r="27" ht="19" customHeight="1">
      <c r="A27" s="15" t="inlineStr">
        <is>
          <t>Reported EBITDA (TRY mn - TMS 29)</t>
        </is>
      </c>
      <c r="B27" s="26" t="n">
        <v>7100</v>
      </c>
      <c r="C27" s="26" t="n">
        <v>9200</v>
      </c>
      <c r="D27" s="26" t="n">
        <v>12192</v>
      </c>
      <c r="E27" s="26" t="n">
        <v>13094</v>
      </c>
      <c r="F27" s="26" t="n">
        <v>5100</v>
      </c>
      <c r="G27" s="26" t="n">
        <v>11800</v>
      </c>
      <c r="H27" s="26" t="n">
        <v>13600</v>
      </c>
      <c r="I27" s="26" t="n">
        <v>15500</v>
      </c>
    </row>
    <row r="28" ht="19" customHeight="1">
      <c r="A28" s="15" t="inlineStr">
        <is>
          <t>Period-End USD/TRY Exchange Rate</t>
        </is>
      </c>
      <c r="B28" s="27" t="n">
        <v>18.7</v>
      </c>
      <c r="C28" s="27" t="n">
        <v>29.5</v>
      </c>
      <c r="D28" s="27" t="n">
        <v>35.22</v>
      </c>
      <c r="E28" s="27" t="n">
        <v>42.85</v>
      </c>
      <c r="F28" s="27" t="n">
        <v>48.7</v>
      </c>
      <c r="G28" s="27" t="n">
        <v>52.5</v>
      </c>
      <c r="H28" s="27" t="n">
        <v>58</v>
      </c>
      <c r="I28" s="27" t="n">
        <v>64</v>
      </c>
    </row>
    <row r="29" ht="19" customHeight="1">
      <c r="A29" s="15" t="inlineStr">
        <is>
          <t>Implied USD EBITDA @ Period-End FX ($ mn)</t>
        </is>
      </c>
      <c r="B29" s="16">
        <f>B27/B28</f>
        <v/>
      </c>
      <c r="C29" s="16">
        <f>C27/C28</f>
        <v/>
      </c>
      <c r="D29" s="16">
        <f>D27/D28</f>
        <v/>
      </c>
      <c r="E29" s="16">
        <f>E27/E28</f>
        <v/>
      </c>
      <c r="F29" s="16">
        <f>F27/F28</f>
        <v/>
      </c>
      <c r="G29" s="16">
        <f>G27/G28</f>
        <v/>
      </c>
      <c r="H29" s="16">
        <f>H27/H28</f>
        <v/>
      </c>
      <c r="I29" s="16">
        <f>I27/I28</f>
        <v/>
      </c>
    </row>
    <row r="30" ht="19" customHeight="1">
      <c r="A30" s="15" t="inlineStr">
        <is>
          <t>TRY Net Monetary Gain / (Loss) (TRY mn)</t>
        </is>
      </c>
      <c r="B30" s="26" t="n">
        <v>2100</v>
      </c>
      <c r="C30" s="26" t="n">
        <v>3400</v>
      </c>
      <c r="D30" s="26" t="n">
        <v>4800</v>
      </c>
      <c r="E30" s="26" t="n">
        <v>5200</v>
      </c>
      <c r="F30" s="26" t="n">
        <v>1800</v>
      </c>
      <c r="G30" s="26" t="n">
        <v>4100</v>
      </c>
      <c r="H30" s="26" t="n">
        <v>3800</v>
      </c>
      <c r="I30" s="26" t="n">
        <v>3200</v>
      </c>
    </row>
  </sheetData>
  <mergeCells count="5">
    <mergeCell ref="A25:I25"/>
    <mergeCell ref="A11:I11"/>
    <mergeCell ref="A1:I1"/>
    <mergeCell ref="A18:I18"/>
    <mergeCell ref="A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26" customWidth="1" min="3" max="3"/>
    <col width="10" customWidth="1" min="4" max="4"/>
    <col width="14" customWidth="1" min="5" max="5"/>
    <col width="16" customWidth="1" min="6" max="6"/>
    <col width="15" customWidth="1" min="7" max="7"/>
    <col width="13" customWidth="1" min="8" max="8"/>
    <col width="38" customWidth="1" min="9" max="9"/>
  </cols>
  <sheetData>
    <row r="1" ht="28" customHeight="1">
      <c r="A1" s="1" t="inlineStr">
        <is>
          <t>ZORLU ENERJİ — CAPITAL STRUCTURE, DEBT CLAIMS &amp; SUBORDINATION (MID-2026)</t>
        </is>
      </c>
    </row>
    <row r="3">
      <c r="A3" s="11" t="inlineStr">
        <is>
          <t>Tranche / Instrument</t>
        </is>
      </c>
      <c r="B3" s="11" t="inlineStr">
        <is>
          <t>Borrower / Entity</t>
        </is>
      </c>
      <c r="C3" s="11" t="inlineStr">
        <is>
          <t>Governing Law / Type</t>
        </is>
      </c>
      <c r="D3" s="11" t="inlineStr">
        <is>
          <t>Currency</t>
        </is>
      </c>
      <c r="E3" s="11" t="inlineStr">
        <is>
          <t>Amount (Orig)</t>
        </is>
      </c>
      <c r="F3" s="11" t="inlineStr">
        <is>
          <t>Amount (USD mn)</t>
        </is>
      </c>
      <c r="G3" s="11" t="inlineStr">
        <is>
          <t>Coupon / Cost</t>
        </is>
      </c>
      <c r="H3" s="11" t="inlineStr">
        <is>
          <t>Maturity</t>
        </is>
      </c>
      <c r="I3" s="11" t="inlineStr">
        <is>
          <t>Seniority &amp; Collateral</t>
        </is>
      </c>
    </row>
    <row r="4" ht="20" customHeight="1">
      <c r="A4" s="10" t="inlineStr">
        <is>
          <t>1. OPERATING COMPANY (OPCO) SENIOR SECURED DEBT</t>
        </is>
      </c>
    </row>
    <row r="5" ht="20" customHeight="1">
      <c r="A5" s="15" t="inlineStr">
        <is>
          <t>ADB Distribution Rehabilitation Loan</t>
        </is>
      </c>
      <c r="B5" s="15" t="inlineStr">
        <is>
          <t>Osmangazi Dağıtım (OEDAŞ)</t>
        </is>
      </c>
      <c r="C5" s="15" t="inlineStr">
        <is>
          <t>DFI Concessional Loan</t>
        </is>
      </c>
      <c r="D5" s="28" t="inlineStr">
        <is>
          <t>TRY</t>
        </is>
      </c>
      <c r="E5" s="29" t="inlineStr">
        <is>
          <t>3,979.8M</t>
        </is>
      </c>
      <c r="F5" s="16" t="n">
        <v>115</v>
      </c>
      <c r="G5" s="28" t="inlineStr">
        <is>
          <t>Ref + Margin</t>
        </is>
      </c>
      <c r="H5" s="28" t="inlineStr">
        <is>
          <t>2034</t>
        </is>
      </c>
      <c r="I5" s="15" t="inlineStr">
        <is>
          <t>Senior Secured on OEDAŞ grid receivables</t>
        </is>
      </c>
    </row>
    <row r="6" ht="20" customHeight="1">
      <c r="A6" s="15" t="inlineStr">
        <is>
          <t>AIIB &amp; Local Banks OEDAŞ Capex Facilities</t>
        </is>
      </c>
      <c r="B6" s="15" t="inlineStr">
        <is>
          <t>Osmangazi Dağıtım (OEDAŞ)</t>
        </is>
      </c>
      <c r="C6" s="15" t="inlineStr">
        <is>
          <t>Project Finance / Syndicated</t>
        </is>
      </c>
      <c r="D6" s="28" t="inlineStr">
        <is>
          <t>TRY/USD</t>
        </is>
      </c>
      <c r="E6" s="29" t="inlineStr">
        <is>
          <t>Various</t>
        </is>
      </c>
      <c r="F6" s="16" t="n">
        <v>135</v>
      </c>
      <c r="G6" s="28" t="inlineStr">
        <is>
          <t>12.5% / SOFR+4.5%</t>
        </is>
      </c>
      <c r="H6" s="28" t="inlineStr">
        <is>
          <t>2027-2029</t>
        </is>
      </c>
      <c r="I6" s="15" t="inlineStr">
        <is>
          <t>Pledged on distribution revenue account</t>
        </is>
      </c>
    </row>
    <row r="7" ht="20" customHeight="1">
      <c r="A7" s="15" t="inlineStr">
        <is>
          <t>Geothermal &amp; Wind Project Loans</t>
        </is>
      </c>
      <c r="B7" s="15" t="inlineStr">
        <is>
          <t>Zorlu Dogal / Generation SPVs</t>
        </is>
      </c>
      <c r="C7" s="15" t="inlineStr">
        <is>
          <t>Project Finance</t>
        </is>
      </c>
      <c r="D7" s="28" t="inlineStr">
        <is>
          <t>USD</t>
        </is>
      </c>
      <c r="E7" s="29" t="inlineStr">
        <is>
          <t>$80.0M</t>
        </is>
      </c>
      <c r="F7" s="16" t="n">
        <v>80</v>
      </c>
      <c r="G7" s="28" t="inlineStr">
        <is>
          <t>SOFR + 3.75%</t>
        </is>
      </c>
      <c r="H7" s="28" t="inlineStr">
        <is>
          <t>2028-2030</t>
        </is>
      </c>
      <c r="I7" s="15" t="inlineStr">
        <is>
          <t>Mortgages over Kızıldere/Alaşehir plant assets</t>
        </is>
      </c>
    </row>
    <row r="8" ht="20" customHeight="1">
      <c r="A8" s="30" t="inlineStr">
        <is>
          <t>Subtotal OpCo Senior Secured Claims</t>
        </is>
      </c>
      <c r="B8" s="31" t="n"/>
      <c r="C8" s="31" t="n"/>
      <c r="D8" s="31" t="n"/>
      <c r="E8" s="31" t="n"/>
      <c r="F8" s="18">
        <f>SUM(F5:F7)</f>
        <v/>
      </c>
      <c r="G8" s="31" t="n"/>
      <c r="H8" s="31" t="n"/>
      <c r="I8" s="32" t="inlineStr">
        <is>
          <t>Direct ring-fenced operating assets</t>
        </is>
      </c>
    </row>
    <row r="9" ht="20" customHeight="1">
      <c r="A9" s="10" t="inlineStr">
        <is>
          <t>2. INTERMEDIATE / HOLDCO SENIOR UNSECURED DEBT</t>
        </is>
      </c>
    </row>
    <row r="10" ht="20" customHeight="1">
      <c r="A10" s="15" t="inlineStr">
        <is>
          <t>Sustainability-Linked Eurobond (XS2926261426)</t>
        </is>
      </c>
      <c r="B10" s="15" t="inlineStr">
        <is>
          <t>Zorlu Enerji Elektrik Üretim A.Ş.</t>
        </is>
      </c>
      <c r="C10" s="15" t="inlineStr">
        <is>
          <t>RegS/144A Listed (Dublin/Frankfurt)</t>
        </is>
      </c>
      <c r="D10" s="28" t="inlineStr">
        <is>
          <t>USD</t>
        </is>
      </c>
      <c r="E10" s="29" t="inlineStr">
        <is>
          <t>$1,100.0M</t>
        </is>
      </c>
      <c r="F10" s="16" t="n">
        <v>1100</v>
      </c>
      <c r="G10" s="28" t="inlineStr">
        <is>
          <t>11.000%</t>
        </is>
      </c>
      <c r="H10" s="28" t="inlineStr">
        <is>
          <t>23-Apr-2030</t>
        </is>
      </c>
      <c r="I10" s="15" t="inlineStr">
        <is>
          <t>Senior Unsecured HoldCo; Structurally Subordinated</t>
        </is>
      </c>
    </row>
    <row r="11" ht="20" customHeight="1">
      <c r="A11" s="15" t="inlineStr">
        <is>
          <t>HoldCo Bilateral Bank Lines &amp; Overdrafts</t>
        </is>
      </c>
      <c r="B11" s="15" t="inlineStr">
        <is>
          <t>Zorlu Enerji Elektrik Üretim A.Ş.</t>
        </is>
      </c>
      <c r="C11" s="15" t="inlineStr">
        <is>
          <t>Turkish Commercial Banks</t>
        </is>
      </c>
      <c r="D11" s="28" t="inlineStr">
        <is>
          <t>TRY/USD</t>
        </is>
      </c>
      <c r="E11" s="29" t="inlineStr">
        <is>
          <t>Various</t>
        </is>
      </c>
      <c r="F11" s="16" t="n">
        <v>50</v>
      </c>
      <c r="G11" s="28" t="inlineStr">
        <is>
          <t>Fixed/Floating</t>
        </is>
      </c>
      <c r="H11" s="28" t="inlineStr">
        <is>
          <t>2026-2027</t>
        </is>
      </c>
      <c r="I11" s="15" t="inlineStr">
        <is>
          <t>Unsecured bank facilities</t>
        </is>
      </c>
    </row>
    <row r="12" ht="20" customHeight="1">
      <c r="A12" s="15" t="inlineStr">
        <is>
          <t>Local TRY Corporate Bonds &amp; Sukuk</t>
        </is>
      </c>
      <c r="B12" s="15" t="inlineStr">
        <is>
          <t>Zorlu Enerji Elektrik Üretim A.Ş.</t>
        </is>
      </c>
      <c r="C12" s="15" t="inlineStr">
        <is>
          <t>BIST Domestic Issuance</t>
        </is>
      </c>
      <c r="D12" s="28" t="inlineStr">
        <is>
          <t>TRY</t>
        </is>
      </c>
      <c r="E12" s="29" t="inlineStr">
        <is>
          <t>3,650.0M</t>
        </is>
      </c>
      <c r="F12" s="16" t="n">
        <v>75</v>
      </c>
      <c r="G12" s="28" t="inlineStr">
        <is>
          <t>TLREF + 3.5%</t>
        </is>
      </c>
      <c r="H12" s="28" t="inlineStr">
        <is>
          <t>2026-2027</t>
        </is>
      </c>
      <c r="I12" s="15" t="inlineStr">
        <is>
          <t>Domestic unsecured paper</t>
        </is>
      </c>
    </row>
    <row r="13" ht="20" customHeight="1">
      <c r="A13" s="30" t="inlineStr">
        <is>
          <t>Subtotal HoldCo Senior Unsecured Claims</t>
        </is>
      </c>
      <c r="B13" s="31" t="n"/>
      <c r="C13" s="31" t="n"/>
      <c r="D13" s="31" t="n"/>
      <c r="E13" s="31" t="n"/>
      <c r="F13" s="18">
        <f>SUM(F10:F12)</f>
        <v/>
      </c>
      <c r="G13" s="31" t="n"/>
      <c r="H13" s="31" t="n"/>
      <c r="I13" s="32" t="inlineStr">
        <is>
          <t>Junior to OpCo claims upon liquidation</t>
        </is>
      </c>
    </row>
    <row r="14" ht="20" customHeight="1">
      <c r="A14" s="10" t="inlineStr">
        <is>
          <t>3. TOTAL DEBT &amp; CASH SUMMARY</t>
        </is>
      </c>
    </row>
    <row r="15" ht="20" customHeight="1">
      <c r="A15" s="33" t="inlineStr">
        <is>
          <t>Total Gross Financial Debt</t>
        </is>
      </c>
      <c r="B15" s="34" t="n"/>
      <c r="C15" s="34" t="n"/>
      <c r="D15" s="34" t="n"/>
      <c r="E15" s="34" t="n"/>
      <c r="F15" s="35">
        <f>F8+F13</f>
        <v/>
      </c>
      <c r="G15" s="34" t="n"/>
      <c r="H15" s="34" t="n"/>
      <c r="I15" s="36" t="inlineStr">
        <is>
          <t>Combined enterprise indebtedness</t>
        </is>
      </c>
    </row>
    <row r="16" ht="20" customHeight="1">
      <c r="A16" s="37" t="inlineStr">
        <is>
          <t>Less: Unrestricted Cash &amp; Cash Equivalents</t>
        </is>
      </c>
      <c r="B16" s="4" t="n"/>
      <c r="C16" s="4" t="n"/>
      <c r="D16" s="4" t="n"/>
      <c r="E16" s="4" t="n"/>
      <c r="F16" s="21" t="n">
        <v>-150</v>
      </c>
      <c r="G16" s="4" t="n"/>
      <c r="H16" s="4" t="n"/>
      <c r="I16" s="38" t="inlineStr">
        <is>
          <t>HoldCo &amp; central treasury liquidity</t>
        </is>
      </c>
    </row>
    <row r="17" ht="20" customHeight="1">
      <c r="A17" s="37" t="inlineStr">
        <is>
          <t>Less: OpCo Restricted Cash / DSRA</t>
        </is>
      </c>
      <c r="B17" s="4" t="n"/>
      <c r="C17" s="4" t="n"/>
      <c r="D17" s="4" t="n"/>
      <c r="E17" s="4" t="n"/>
      <c r="F17" s="21" t="n">
        <v>-80</v>
      </c>
      <c r="G17" s="4" t="n"/>
      <c r="H17" s="4" t="n"/>
      <c r="I17" s="38" t="inlineStr">
        <is>
          <t>Trapped in OEDAŞ &amp; Project debt reserves</t>
        </is>
      </c>
    </row>
    <row r="18" ht="20" customHeight="1">
      <c r="A18" s="33" t="inlineStr">
        <is>
          <t>Total Net Financial Debt</t>
        </is>
      </c>
      <c r="B18" s="34" t="n"/>
      <c r="C18" s="34" t="n"/>
      <c r="D18" s="34" t="n"/>
      <c r="E18" s="34" t="n"/>
      <c r="F18" s="35">
        <f>F15+F16+F17</f>
        <v/>
      </c>
      <c r="G18" s="34" t="n"/>
      <c r="H18" s="34" t="n"/>
      <c r="I18" s="36" t="inlineStr">
        <is>
          <t>Net claim against enterprise value</t>
        </is>
      </c>
    </row>
  </sheetData>
  <mergeCells count="4">
    <mergeCell ref="A1:I1"/>
    <mergeCell ref="A4:I4"/>
    <mergeCell ref="A14:I14"/>
    <mergeCell ref="A9:I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8" customWidth="1" min="2" max="2"/>
    <col width="22" customWidth="1" min="3" max="3"/>
    <col width="22" customWidth="1" min="4" max="4"/>
    <col width="22" customWidth="1" min="5" max="5"/>
    <col width="44" customWidth="1" min="6" max="6"/>
  </cols>
  <sheetData>
    <row r="1" ht="28" customHeight="1">
      <c r="A1" s="1" t="inlineStr">
        <is>
          <t>ZORLU ENERJİ — DISTRESSED ENTERPRISE VALUE &amp; EUROBOND RECOVERY WATERFALL</t>
        </is>
      </c>
    </row>
    <row r="3">
      <c r="A3" s="11" t="inlineStr">
        <is>
          <t>Recovery Waterfall Line Item</t>
        </is>
      </c>
      <c r="B3" s="11" t="inlineStr">
        <is>
          <t>Ref</t>
        </is>
      </c>
      <c r="C3" s="11" t="inlineStr">
        <is>
          <t>Downside Restructuring</t>
        </is>
      </c>
      <c r="D3" s="11" t="inlineStr">
        <is>
          <t>Base Case Restructuring</t>
        </is>
      </c>
      <c r="E3" s="11" t="inlineStr">
        <is>
          <t>Upside / Orderly Sale</t>
        </is>
      </c>
      <c r="F3" s="11" t="inlineStr">
        <is>
          <t>Methodology / Valuation Rationale</t>
        </is>
      </c>
    </row>
    <row r="4" ht="21" customHeight="1">
      <c r="A4" s="10" t="inlineStr">
        <is>
          <t>STEP 1: DISTRESSED ENTERPRISE VALUE (EV)</t>
        </is>
      </c>
    </row>
    <row r="5" ht="21" customHeight="1">
      <c r="A5" s="15" t="inlineStr">
        <is>
          <t>Normalized / Stressed Operational USD EBITDA ($ mn)</t>
        </is>
      </c>
      <c r="B5" s="39" t="inlineStr">
        <is>
          <t>R5</t>
        </is>
      </c>
      <c r="C5" s="16" t="n">
        <v>230</v>
      </c>
      <c r="D5" s="16" t="n">
        <v>275</v>
      </c>
      <c r="E5" s="16" t="n">
        <v>305</v>
      </c>
      <c r="F5" s="40" t="inlineStr">
        <is>
          <t>Stressed LTM run-rate after management haircut</t>
        </is>
      </c>
    </row>
    <row r="6" ht="21" customHeight="1">
      <c r="A6" s="15" t="inlineStr">
        <is>
          <t>Implied Distressed EV/EBITDA Multiple</t>
        </is>
      </c>
      <c r="B6" s="39" t="inlineStr">
        <is>
          <t>R6</t>
        </is>
      </c>
      <c r="C6" s="23" t="n">
        <v>4.5</v>
      </c>
      <c r="D6" s="23" t="n">
        <v>5.25</v>
      </c>
      <c r="E6" s="23" t="n">
        <v>6</v>
      </c>
      <c r="F6" s="40" t="inlineStr">
        <is>
          <t>Discounted peer multiples (peers trade at 7.0-8.0x)</t>
        </is>
      </c>
    </row>
    <row r="7" ht="21" customHeight="1">
      <c r="A7" s="15" t="inlineStr">
        <is>
          <t>Gross Distressed Enterprise Value ($ mn)</t>
        </is>
      </c>
      <c r="B7" s="39" t="inlineStr">
        <is>
          <t>R7</t>
        </is>
      </c>
      <c r="C7" s="18">
        <f>C5*C6</f>
        <v/>
      </c>
      <c r="D7" s="18">
        <f>D5*D6</f>
        <v/>
      </c>
      <c r="E7" s="18">
        <f>E5*E6</f>
        <v/>
      </c>
      <c r="F7" s="40" t="inlineStr">
        <is>
          <t>Operational Going-Concern EV at restructuring</t>
        </is>
      </c>
    </row>
    <row r="8" ht="21" customHeight="1">
      <c r="A8" s="15" t="inlineStr">
        <is>
          <t>Less: Restructuring &amp; Advisory Friction Costs</t>
        </is>
      </c>
      <c r="B8" s="39" t="inlineStr">
        <is>
          <t>R8</t>
        </is>
      </c>
      <c r="C8" s="21" t="n">
        <v>-75</v>
      </c>
      <c r="D8" s="21" t="n">
        <v>-50</v>
      </c>
      <c r="E8" s="21" t="n">
        <v>-35</v>
      </c>
      <c r="F8" s="40" t="inlineStr">
        <is>
          <t>Houlihan Lokey, Servo, legal counsel, DIP fee (3-7% of EV)</t>
        </is>
      </c>
    </row>
    <row r="9" ht="21" customHeight="1">
      <c r="A9" s="15" t="inlineStr">
        <is>
          <t>Plus: Unrestricted Non-Operating Cash ($ mn)</t>
        </is>
      </c>
      <c r="B9" s="39" t="inlineStr">
        <is>
          <t>R9</t>
        </is>
      </c>
      <c r="C9" s="16" t="n">
        <v>100</v>
      </c>
      <c r="D9" s="16" t="n">
        <v>150</v>
      </c>
      <c r="E9" s="16" t="n">
        <v>175</v>
      </c>
      <c r="F9" s="40" t="inlineStr">
        <is>
          <t>HoldCo accessible cash (excluding trapped OpCo DSRA)</t>
        </is>
      </c>
    </row>
    <row r="10" ht="21" customHeight="1">
      <c r="A10" s="17" t="inlineStr">
        <is>
          <t>Adjusted Distributable Enterprise Value ($ mn)</t>
        </is>
      </c>
      <c r="B10" s="39" t="inlineStr">
        <is>
          <t>R10</t>
        </is>
      </c>
      <c r="C10" s="18">
        <f>SUM(C7:C9)</f>
        <v/>
      </c>
      <c r="D10" s="18">
        <f>SUM(D7:D9)</f>
        <v/>
      </c>
      <c r="E10" s="18">
        <f>SUM(E7:E9)</f>
        <v/>
      </c>
      <c r="F10" s="40" t="inlineStr">
        <is>
          <t>Total cash &amp; asset value available to all claimants</t>
        </is>
      </c>
    </row>
    <row r="11" ht="21" customHeight="1">
      <c r="A11" s="10" t="inlineStr">
        <is>
          <t>STEP 2: PRIORITY CLAIMS (SENIOR TO HOLDCO EUROBOND)</t>
        </is>
      </c>
    </row>
    <row r="12" ht="21" customHeight="1">
      <c r="A12" s="15" t="inlineStr">
        <is>
          <t>OpCo Senior Secured Debt (ADB Loan $115M + Bank Capex)</t>
        </is>
      </c>
      <c r="B12" s="39" t="inlineStr">
        <is>
          <t>R12</t>
        </is>
      </c>
      <c r="C12" s="21" t="n">
        <v>-250</v>
      </c>
      <c r="D12" s="21" t="n">
        <v>-250</v>
      </c>
      <c r="E12" s="21" t="n">
        <v>-250</v>
      </c>
      <c r="F12" s="40" t="inlineStr">
        <is>
          <t>OEDAŞ ring-fenced debt (100% covered by utility assets)</t>
        </is>
      </c>
    </row>
    <row r="13" ht="21" customHeight="1">
      <c r="A13" s="15" t="inlineStr">
        <is>
          <t>Geothermal &amp; Renewable Project Finance Senior Debt</t>
        </is>
      </c>
      <c r="B13" s="39" t="inlineStr">
        <is>
          <t>R13</t>
        </is>
      </c>
      <c r="C13" s="21" t="n">
        <v>-80</v>
      </c>
      <c r="D13" s="21" t="n">
        <v>-80</v>
      </c>
      <c r="E13" s="21" t="n">
        <v>-80</v>
      </c>
      <c r="F13" s="40" t="inlineStr">
        <is>
          <t>Plant mortgages at project SPVs (100% recovered)</t>
        </is>
      </c>
    </row>
    <row r="14" ht="21" customHeight="1">
      <c r="A14" s="17" t="inlineStr">
        <is>
          <t>Total Priority Senior OpCo Claims ($ mn)</t>
        </is>
      </c>
      <c r="B14" s="39" t="inlineStr">
        <is>
          <t>R14</t>
        </is>
      </c>
      <c r="C14" s="41">
        <f>SUM(C12:C13)</f>
        <v/>
      </c>
      <c r="D14" s="41">
        <f>SUM(D12:D13)</f>
        <v/>
      </c>
      <c r="E14" s="41">
        <f>SUM(E12:E13)</f>
        <v/>
      </c>
      <c r="F14" s="40" t="inlineStr">
        <is>
          <t>Fully senior structurally secured obligations</t>
        </is>
      </c>
    </row>
    <row r="15" ht="21" customHeight="1">
      <c r="A15" s="10" t="inlineStr">
        <is>
          <t>STEP 3: NET ENTERPRISE VALUE FOR HOLDCO UNSECURED CREDITORS</t>
        </is>
      </c>
    </row>
    <row r="16" ht="21" customHeight="1">
      <c r="A16" s="15" t="inlineStr">
        <is>
          <t>Net EV Available to HoldCo Unsecured Pool ($ mn)</t>
        </is>
      </c>
      <c r="B16" s="39" t="inlineStr">
        <is>
          <t>R16</t>
        </is>
      </c>
      <c r="C16" s="18">
        <f>C10+C14</f>
        <v/>
      </c>
      <c r="D16" s="18">
        <f>D10+D14</f>
        <v/>
      </c>
      <c r="E16" s="18">
        <f>E10+E14</f>
        <v/>
      </c>
      <c r="F16" s="40" t="inlineStr">
        <is>
          <t>Distributable value flowing to Zorlu Enerji HoldCo</t>
        </is>
      </c>
    </row>
    <row r="17" ht="21" customHeight="1">
      <c r="A17" s="10" t="inlineStr">
        <is>
          <t>STEP 4: UNSECURED CLAIMS POOL (PARI PASSU)</t>
        </is>
      </c>
    </row>
    <row r="18" ht="21" customHeight="1">
      <c r="A18" s="15" t="inlineStr">
        <is>
          <t>Zorlu Enerji 11% 2030 Eurobond (XS2926261426)</t>
        </is>
      </c>
      <c r="B18" s="39" t="inlineStr">
        <is>
          <t>R18</t>
        </is>
      </c>
      <c r="C18" s="16" t="n">
        <v>1100</v>
      </c>
      <c r="D18" s="16" t="n">
        <v>1100</v>
      </c>
      <c r="E18" s="16" t="n">
        <v>1100</v>
      </c>
      <c r="F18" s="40" t="inlineStr">
        <is>
          <t>Face value of outstanding Eurobond notes</t>
        </is>
      </c>
    </row>
    <row r="19" ht="21" customHeight="1">
      <c r="A19" s="15" t="inlineStr">
        <is>
          <t>HoldCo Bilateral Bank Lines &amp; Overdrafts</t>
        </is>
      </c>
      <c r="B19" s="39" t="inlineStr">
        <is>
          <t>R19</t>
        </is>
      </c>
      <c r="C19" s="16" t="n">
        <v>50</v>
      </c>
      <c r="D19" s="16" t="n">
        <v>50</v>
      </c>
      <c r="E19" s="16" t="n">
        <v>50</v>
      </c>
      <c r="F19" s="40" t="inlineStr">
        <is>
          <t>Direct bank lines at HoldCo level</t>
        </is>
      </c>
    </row>
    <row r="20" ht="21" customHeight="1">
      <c r="A20" s="15" t="inlineStr">
        <is>
          <t>Domestic TRY Bonds &amp; Sukuk</t>
        </is>
      </c>
      <c r="B20" s="39" t="inlineStr">
        <is>
          <t>R20</t>
        </is>
      </c>
      <c r="C20" s="16" t="n">
        <v>75</v>
      </c>
      <c r="D20" s="16" t="n">
        <v>75</v>
      </c>
      <c r="E20" s="16" t="n">
        <v>75</v>
      </c>
      <c r="F20" s="40" t="inlineStr">
        <is>
          <t>Domestic paper claims ranking pari passu</t>
        </is>
      </c>
    </row>
    <row r="21" ht="21" customHeight="1">
      <c r="A21" s="17" t="inlineStr">
        <is>
          <t>Total Senior Unsecured Claims Pool ($ mn)</t>
        </is>
      </c>
      <c r="B21" s="39" t="inlineStr">
        <is>
          <t>R21</t>
        </is>
      </c>
      <c r="C21" s="18">
        <f>SUM(C17:C19)</f>
        <v/>
      </c>
      <c r="D21" s="18">
        <f>SUM(D17:D19)</f>
        <v/>
      </c>
      <c r="E21" s="18">
        <f>SUM(E17:E19)</f>
        <v/>
      </c>
      <c r="F21" s="40" t="inlineStr">
        <is>
          <t>Total pari passu unsecured class</t>
        </is>
      </c>
    </row>
    <row r="22" ht="21" customHeight="1">
      <c r="A22" s="10" t="inlineStr">
        <is>
          <t>STEP 5: RECOVERY CALCULATION &amp; SENSITIVITY</t>
        </is>
      </c>
    </row>
    <row r="23" ht="21" customHeight="1">
      <c r="A23" s="17" t="inlineStr">
        <is>
          <t>Eurobond Recovery Percentage (%)</t>
        </is>
      </c>
      <c r="B23" s="39" t="inlineStr">
        <is>
          <t>R23</t>
        </is>
      </c>
      <c r="C23" s="42">
        <f>C15/C20</f>
        <v/>
      </c>
      <c r="D23" s="42">
        <f>D15/D20</f>
        <v/>
      </c>
      <c r="E23" s="42">
        <f>E15/E20</f>
        <v/>
      </c>
      <c r="F23" s="40" t="inlineStr">
        <is>
          <t>Implied recovery rate for Eurobond holders</t>
        </is>
      </c>
    </row>
    <row r="24" ht="21" customHeight="1">
      <c r="A24" s="17" t="inlineStr">
        <is>
          <t>Implied Eurobond Value (Cents on the Dollar)</t>
        </is>
      </c>
      <c r="B24" s="39" t="inlineStr">
        <is>
          <t>R24</t>
        </is>
      </c>
      <c r="C24" s="43">
        <f>C22*100</f>
        <v/>
      </c>
      <c r="D24" s="43">
        <f>D22*100</f>
        <v/>
      </c>
      <c r="E24" s="43">
        <f>E22*100</f>
        <v/>
      </c>
      <c r="F24" s="40" t="inlineStr">
        <is>
          <t>Fair restructuring price per $100 par</t>
        </is>
      </c>
    </row>
    <row r="25" ht="21" customHeight="1">
      <c r="A25" s="15" t="inlineStr">
        <is>
          <t>Current Secondary Market Trading Price (Cents)</t>
        </is>
      </c>
      <c r="B25" s="39" t="inlineStr">
        <is>
          <t>R25</t>
        </is>
      </c>
      <c r="C25" s="44" t="n">
        <v>63.5</v>
      </c>
      <c r="D25" s="44" t="n">
        <v>63.5</v>
      </c>
      <c r="E25" s="44" t="n">
        <v>63.5</v>
      </c>
      <c r="F25" s="40" t="inlineStr">
        <is>
          <t>Trading price post Houlihan appointment (Sep 2026)</t>
        </is>
      </c>
    </row>
    <row r="26" ht="21" customHeight="1">
      <c r="A26" s="15" t="inlineStr">
        <is>
          <t>Implied Upside / (Downside) vs Current Price (%)</t>
        </is>
      </c>
      <c r="B26" s="39" t="inlineStr">
        <is>
          <t>R26</t>
        </is>
      </c>
      <c r="C26" s="45">
        <f>(C23-C24)/C24</f>
        <v/>
      </c>
      <c r="D26" s="46">
        <f>(D23-D24)/D24</f>
        <v/>
      </c>
      <c r="E26" s="46">
        <f>(E23-E24)/E24</f>
        <v/>
      </c>
      <c r="F26" s="40" t="inlineStr">
        <is>
          <t>Risk-adjusted return profile for distressed buyer</t>
        </is>
      </c>
    </row>
  </sheetData>
  <mergeCells count="6">
    <mergeCell ref="A11:F11"/>
    <mergeCell ref="A1:G1"/>
    <mergeCell ref="A22:F22"/>
    <mergeCell ref="A17:F17"/>
    <mergeCell ref="A4:F4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ZORLU ENERJİ — INCORPORATING MANAGEMENT DISAPPOINTMENT INTO VALUATION</t>
        </is>
      </c>
    </row>
    <row r="2" ht="18" customHeight="1">
      <c r="A2" s="2" t="inlineStr">
        <is>
          <t>Quantitative Model Adjusting Bond Fair Value for Governance Deficit, Guidance Slippage &amp; Group Contagion</t>
        </is>
      </c>
    </row>
    <row r="4" ht="20" customHeight="1">
      <c r="A4" s="10" t="inlineStr">
        <is>
          <t>1. AUDIT OF MANAGEMENT GUIDANCE VS ACTUAL EXECUTION (CREDIBILITY DEFICIT)</t>
        </is>
      </c>
    </row>
    <row r="5">
      <c r="A5" s="11" t="inlineStr">
        <is>
          <t>Strategic Promise / Guidance</t>
        </is>
      </c>
      <c r="B5" s="11" t="inlineStr">
        <is>
          <t>Initial Management Target</t>
        </is>
      </c>
      <c r="C5" s="11" t="inlineStr">
        <is>
          <t>Actual Outcome (2024-2026)</t>
        </is>
      </c>
      <c r="D5" s="11" t="inlineStr">
        <is>
          <t>Credibility Variance</t>
        </is>
      </c>
      <c r="E5" s="11" t="inlineStr">
        <is>
          <t>Market / Credit Repercussion</t>
        </is>
      </c>
    </row>
    <row r="6" ht="36" customHeight="1">
      <c r="A6" s="12" t="inlineStr">
        <is>
          <t>Deleveraging Target</t>
        </is>
      </c>
      <c r="B6" s="12" t="inlineStr">
        <is>
          <t>Net Debt/EBITDA &lt; 2.5x by 2024</t>
        </is>
      </c>
      <c r="C6" s="12" t="inlineStr">
        <is>
          <t>Net Debt/EBITDA expanded to 3.82x (FY25) &amp; ~4.7x (LTM26)</t>
        </is>
      </c>
      <c r="D6" s="47" t="inlineStr">
        <is>
          <t>Missed by &gt;2.0x turns</t>
        </is>
      </c>
      <c r="E6" s="12" t="inlineStr">
        <is>
          <t>Fitch placed rating on Negative Outlook; liquidity headroom evaporated.</t>
        </is>
      </c>
    </row>
    <row r="7" ht="36" customHeight="1">
      <c r="A7" s="13" t="inlineStr">
        <is>
          <t>Asset Sales (Israel / Fossil)</t>
        </is>
      </c>
      <c r="B7" s="13" t="inlineStr">
        <is>
          <t>Divest Israel assets (Dorad/Ashdod) to generate &gt;$150M cash</t>
        </is>
      </c>
      <c r="C7" s="13" t="inlineStr">
        <is>
          <t>Protracted geopolitical delays; partial exits at steep discounts</t>
        </is>
      </c>
      <c r="D7" s="47" t="inlineStr">
        <is>
          <t>Execution delayed by &gt;24 months</t>
        </is>
      </c>
      <c r="E7" s="13" t="inlineStr">
        <is>
          <t>Proceeds failed to materially reduce Eurobond principal before maturity wall.</t>
        </is>
      </c>
    </row>
    <row r="8" ht="36" customHeight="1">
      <c r="A8" s="12" t="inlineStr">
        <is>
          <t>ZES (EV Charging) Monetization</t>
        </is>
      </c>
      <c r="B8" s="12" t="inlineStr">
        <is>
          <t>Minority equity raise / strategic partner at premium valuation</t>
        </is>
      </c>
      <c r="C8" s="12" t="inlineStr">
        <is>
          <t>High capex burn continued; no significant external equity closing</t>
        </is>
      </c>
      <c r="D8" s="47" t="inlineStr">
        <is>
          <t>Cash burn instead of cash inflow</t>
        </is>
      </c>
      <c r="E8" s="12" t="inlineStr">
        <is>
          <t>ZES remained a cash-absorber rather than a deleveraging catalyst.</t>
        </is>
      </c>
    </row>
    <row r="9" ht="36" customHeight="1">
      <c r="A9" s="13" t="inlineStr">
        <is>
          <t>Investor Transparency</t>
        </is>
      </c>
      <c r="B9" s="13" t="inlineStr">
        <is>
          <t>Committed to ongoing global institutional bondholder roadshows</t>
        </is>
      </c>
      <c r="C9" s="13" t="inlineStr">
        <is>
          <t>Abruptly canceled JPMorgan London conference appearance in Sep 2026</t>
        </is>
      </c>
      <c r="D9" s="47" t="inlineStr">
        <is>
          <t>Total communication blackout</t>
        </is>
      </c>
      <c r="E9" s="13" t="inlineStr">
        <is>
          <t>Eurobond collapsed 11 points in 48 hours to 63 cents; market pricing default.</t>
        </is>
      </c>
    </row>
    <row r="10" ht="36" customHeight="1">
      <c r="A10" s="12" t="inlineStr">
        <is>
          <t>Wider Group Ring-fencing</t>
        </is>
      </c>
      <c r="B10" s="12" t="inlineStr">
        <is>
          <t>Zorlu Enerji balance sheet independent of Zorlu Holding stress</t>
        </is>
      </c>
      <c r="C10" s="12" t="inlineStr">
        <is>
          <t>Vestel hired Houlihan (Jul 2026); ZOREN followed 2 months later (Sep 2026)</t>
        </is>
      </c>
      <c r="D10" s="47" t="inlineStr">
        <is>
          <t>Conglomerate contagion confirmed</t>
        </is>
      </c>
      <c r="E10" s="12" t="inlineStr">
        <is>
          <t>Turkish banks treat Zorlu Group as single risk limit, freezing new credit lines.</t>
        </is>
      </c>
    </row>
    <row r="12" ht="20" customHeight="1">
      <c r="A12" s="10" t="inlineStr">
        <is>
          <t>2. VALUATION MATRIX: EUROBOND FAIR VALUE SENSITIVITY (CENTS ON DOLLAR)</t>
        </is>
      </c>
    </row>
    <row r="13">
      <c r="A13" s="48" t="inlineStr">
        <is>
          <t>EBITDA Haircut \ Required Return</t>
        </is>
      </c>
      <c r="B13" s="11" t="inlineStr">
        <is>
          <t>18% (Refinance)</t>
        </is>
      </c>
      <c r="C13" s="11" t="inlineStr">
        <is>
          <t>22% (Stressed)</t>
        </is>
      </c>
      <c r="D13" s="11" t="inlineStr">
        <is>
          <t>26% (Current Mkt)</t>
        </is>
      </c>
      <c r="E13" s="11" t="inlineStr">
        <is>
          <t>30% (Distressed)</t>
        </is>
      </c>
      <c r="F13" s="11" t="inlineStr">
        <is>
          <t>35% (Deep Distress)</t>
        </is>
      </c>
    </row>
    <row r="14" ht="20" customHeight="1">
      <c r="A14" s="17" t="inlineStr">
        <is>
          <t>0% Haircut (Mgmt Guidance: $305M)</t>
        </is>
      </c>
      <c r="B14" s="49" t="n">
        <v>84.2</v>
      </c>
      <c r="C14" s="49" t="n">
        <v>76.5</v>
      </c>
      <c r="D14" s="50" t="n">
        <v>69.8</v>
      </c>
      <c r="E14" s="50" t="n">
        <v>63.9</v>
      </c>
      <c r="F14" s="50" t="n">
        <v>58.1</v>
      </c>
    </row>
    <row r="15" ht="20" customHeight="1">
      <c r="A15" s="51" t="inlineStr">
        <is>
          <t>10% Haircut (Mild Slippage: $275M)</t>
        </is>
      </c>
      <c r="B15" s="49" t="n">
        <v>76.8</v>
      </c>
      <c r="C15" s="50" t="n">
        <v>69.90000000000001</v>
      </c>
      <c r="D15" s="50" t="n">
        <v>63.8</v>
      </c>
      <c r="E15" s="50" t="n">
        <v>58.4</v>
      </c>
      <c r="F15" s="50" t="n">
        <v>53.1</v>
      </c>
    </row>
    <row r="16" ht="20" customHeight="1">
      <c r="A16" s="17" t="inlineStr">
        <is>
          <t>15% Haircut (Base Case Underwrite: $260M)</t>
        </is>
      </c>
      <c r="B16" s="49" t="n">
        <v>72.09999999999999</v>
      </c>
      <c r="C16" s="50" t="n">
        <v>65.59999999999999</v>
      </c>
      <c r="D16" s="52" t="n">
        <v>59.8</v>
      </c>
      <c r="E16" s="50" t="n">
        <v>54.8</v>
      </c>
      <c r="F16" s="53" t="n">
        <v>49.8</v>
      </c>
    </row>
    <row r="17" ht="20" customHeight="1">
      <c r="A17" s="51" t="inlineStr">
        <is>
          <t>20% Haircut (Severe Disappointment: $244M)</t>
        </is>
      </c>
      <c r="B17" s="50" t="n">
        <v>67.40000000000001</v>
      </c>
      <c r="C17" s="50" t="n">
        <v>61.3</v>
      </c>
      <c r="D17" s="50" t="n">
        <v>55.9</v>
      </c>
      <c r="E17" s="50" t="n">
        <v>51.2</v>
      </c>
      <c r="F17" s="53" t="n">
        <v>46.5</v>
      </c>
    </row>
    <row r="18" ht="20" customHeight="1">
      <c r="A18" s="17" t="inlineStr">
        <is>
          <t>30% Haircut (Group Leakage / FX Shock: $214M)</t>
        </is>
      </c>
      <c r="B18" s="50" t="n">
        <v>58</v>
      </c>
      <c r="C18" s="50" t="n">
        <v>52.8</v>
      </c>
      <c r="D18" s="53" t="n">
        <v>48.1</v>
      </c>
      <c r="E18" s="53" t="n">
        <v>44</v>
      </c>
      <c r="F18" s="53" t="n">
        <v>40</v>
      </c>
    </row>
    <row r="20">
      <c r="A20" s="54" t="inlineStr">
        <is>
          <t>KEY TAKEAWAYS ON MANAGEMENT DEFICIT &amp; BOND VALUATION:
1. Management figures ($305M+ USD EBITDA) cannot be taken at face value due to a multi-year history of missed deleveraging targets and delayed asset sales.
2. At the current secondary market price of ~63.50 cents, the bond is pricing in an adjusted EBITDA of ~$270M discounted at ~26-27% yield, OR a base-case recovery of ~66 cents minus a 3-5 point illiquidity/restructuring fee.
3. If restructuring establishes a realistic debt service profile (e.g. coupon reprofiled to 5% cash + 6% PIK and maturity extended to 2033), the bond can re-rate to 72-76 cents once Houlihan stabilizes the capital structure.</t>
        </is>
      </c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</sheetData>
  <mergeCells count="5">
    <mergeCell ref="A20:F24"/>
    <mergeCell ref="A1:G1"/>
    <mergeCell ref="A12:G12"/>
    <mergeCell ref="A4:G4"/>
    <mergeCell ref="A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20" customWidth="1" min="3" max="3"/>
    <col width="28" customWidth="1" min="4" max="4"/>
    <col width="28" customWidth="1" min="5" max="5"/>
    <col width="38" customWidth="1" min="6" max="6"/>
  </cols>
  <sheetData>
    <row r="1" ht="28" customHeight="1">
      <c r="A1" s="1" t="inlineStr">
        <is>
          <t>ZORLU HOLDING — CONGLOMERATE ARCHITECTURE &amp; CROSS-DEFAULT CONTAGION RISKS</t>
        </is>
      </c>
    </row>
    <row r="3">
      <c r="A3" s="48" t="inlineStr">
        <is>
          <t>Group Entity / Affiliate</t>
        </is>
      </c>
      <c r="B3" s="11" t="inlineStr">
        <is>
          <t>Ownership / Relation to ZOREN</t>
        </is>
      </c>
      <c r="C3" s="11" t="inlineStr">
        <is>
          <t>Business Sector</t>
        </is>
      </c>
      <c r="D3" s="11" t="inlineStr">
        <is>
          <t>Debt / Financial Pressure Level</t>
        </is>
      </c>
      <c r="E3" s="11" t="inlineStr">
        <is>
          <t>Advisers / Restructuring Status</t>
        </is>
      </c>
      <c r="F3" s="11" t="inlineStr">
        <is>
          <t>Transmission Channel to Zorlu Enerji</t>
        </is>
      </c>
    </row>
    <row r="4" ht="40" customHeight="1">
      <c r="A4" s="12" t="inlineStr">
        <is>
          <t>Zorlu Holding A.Ş. (Parent)</t>
        </is>
      </c>
      <c r="B4" s="12" t="inlineStr">
        <is>
          <t>Ultimate Parent (~56% effective control)</t>
        </is>
      </c>
      <c r="C4" s="12" t="inlineStr">
        <is>
          <t>Conglomerate HoldCo</t>
        </is>
      </c>
      <c r="D4" s="47" t="inlineStr">
        <is>
          <t>Extreme: $3.2B - $4.9B total debt burden</t>
        </is>
      </c>
      <c r="E4" s="12" t="inlineStr">
        <is>
          <t>In senior restructuring talks with Turkish state &amp; private banks</t>
        </is>
      </c>
      <c r="F4" s="12" t="inlineStr">
        <is>
          <t>Demands cash upstreaming / dividends; shares of ZOREN pledged to banks.</t>
        </is>
      </c>
    </row>
    <row r="5" ht="40" customHeight="1">
      <c r="A5" s="13" t="inlineStr">
        <is>
          <t>Vestel Elektronik &amp; Beyaz Eşya</t>
        </is>
      </c>
      <c r="B5" s="13" t="inlineStr">
        <is>
          <t>Sister Subsidiary (Electronics &amp; Appliances)</t>
        </is>
      </c>
      <c r="C5" s="13" t="inlineStr">
        <is>
          <t>Consumer Electronics / White Goods</t>
        </is>
      </c>
      <c r="D5" s="47" t="inlineStr">
        <is>
          <t>Severe: Crushed margins, high TRY interest rate burden</t>
        </is>
      </c>
      <c r="E5" s="13" t="inlineStr">
        <is>
          <t>Hired Houlihan Lokey in July 2026 for bondholder restructuring</t>
        </is>
      </c>
      <c r="F5" s="13" t="inlineStr">
        <is>
          <t>Parallel restructuring validates systemic group-wide liquidity insolvency.</t>
        </is>
      </c>
    </row>
    <row r="6" ht="40" customHeight="1">
      <c r="A6" s="12" t="inlineStr">
        <is>
          <t>Korteks Mensucat</t>
        </is>
      </c>
      <c r="B6" s="12" t="inlineStr">
        <is>
          <t>Sister Subsidiary (Polyester &amp; Textiles)</t>
        </is>
      </c>
      <c r="C6" s="12" t="inlineStr">
        <is>
          <t>Textile Manufacturing</t>
        </is>
      </c>
      <c r="D6" s="47" t="inlineStr">
        <is>
          <t>High: High energy &amp; raw material cost inflation</t>
        </is>
      </c>
      <c r="E6" s="12" t="inlineStr">
        <is>
          <t>Refinancing bilateral bank lines under group umbrella</t>
        </is>
      </c>
      <c r="F6" s="12" t="inlineStr">
        <is>
          <t>Intercompany loan / supplier balances with Zorlu Enerji.</t>
        </is>
      </c>
    </row>
    <row r="7" ht="40" customHeight="1">
      <c r="A7" s="13" t="inlineStr">
        <is>
          <t>Zorlu Gayrimenkul (Real Estate)</t>
        </is>
      </c>
      <c r="B7" s="13" t="inlineStr">
        <is>
          <t>Sister Subsidiary (Zorlu Center / AVM)</t>
        </is>
      </c>
      <c r="C7" s="13" t="inlineStr">
        <is>
          <t>Commercial Real Estate</t>
        </is>
      </c>
      <c r="D7" s="47" t="inlineStr">
        <is>
          <t>Moderate to High: Large project debt facilities</t>
        </is>
      </c>
      <c r="E7" s="13" t="inlineStr">
        <is>
          <t>Asset monetization discussions (potential mall stake sale)</t>
        </is>
      </c>
      <c r="F7" s="13" t="inlineStr">
        <is>
          <t>Asset sale delays increase holding company pressure on ZOREN cash flow.</t>
        </is>
      </c>
    </row>
    <row r="8" ht="40" customHeight="1">
      <c r="A8" s="12" t="inlineStr">
        <is>
          <t>Zorlu Enerji (ZOREN)</t>
        </is>
      </c>
      <c r="B8" s="12" t="inlineStr">
        <is>
          <t>Target Company under Assessment</t>
        </is>
      </c>
      <c r="C8" s="12" t="inlineStr">
        <is>
          <t>Power Generation &amp; Distribution</t>
        </is>
      </c>
      <c r="D8" s="47" t="inlineStr">
        <is>
          <t>Severe: $1.48B Gross Debt; Eurobond coupon $121M/yr</t>
        </is>
      </c>
      <c r="E8" s="12" t="inlineStr">
        <is>
          <t>Hired Houlihan Lokey &amp; Servo Capital in Sep 2026</t>
        </is>
      </c>
      <c r="F8" s="12" t="inlineStr">
        <is>
          <t>Core utility operating cash cows (OEDAŞ) ring-fenced; HoldCo exposed.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2026-09-19T06:46:42Z</dcterms:created>
  <dcterms:modified xmlns:dcterms="http://purl.org/dc/terms/" xmlns:xsi="http://www.w3.org/2001/XMLSchema-instance" xsi:type="dcterms:W3CDTF">2026-09-19T06:46:42Z</dcterms:modified>
</cp:coreProperties>
</file>
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ummary" sheetId="1" state="visible" r:id="rId1"/>
    <sheet xmlns:r="http://schemas.openxmlformats.org/officeDocument/2006/relationships" name="Historical Bank 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2" borderId="0" pivotButton="0" quotePrefix="0" xfId="0"/>
    <xf numFmtId="0" fontId="3" fillId="4" borderId="0" applyAlignment="1" pivotButton="0" quotePrefix="0" xfId="0">
      <alignment horizontal="center"/>
    </xf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Dubai Islamic Bank</t>
        </is>
      </c>
    </row>
    <row r="3">
      <c r="B3" s="2" t="inlineStr">
        <is>
          <t>CEMBI CEEMEA Financial Institutions Assessment | Country: UAE | Benchmark: DIBUH 5.10% 2029</t>
        </is>
      </c>
    </row>
    <row r="5">
      <c r="B5" s="3" t="inlineStr">
        <is>
          <t>TRADING BENCHMARK</t>
        </is>
      </c>
      <c r="C5" s="3" t="inlineStr">
        <is>
          <t>YIELD / SPREAD</t>
        </is>
      </c>
      <c r="D5" s="3" t="inlineStr">
        <is>
          <t>PRUDENTIAL STANDING</t>
        </is>
      </c>
      <c r="E5" s="3" t="inlineStr">
        <is>
          <t>STRATEGY STANCE</t>
        </is>
      </c>
    </row>
    <row r="6">
      <c r="B6" s="4" t="inlineStr">
        <is>
          <t>Benchmark Senior Paper</t>
        </is>
      </c>
      <c r="C6" s="5" t="inlineStr">
        <is>
          <t>5.10% (+90 bp)</t>
        </is>
      </c>
      <c r="D6" s="4" t="inlineStr">
        <is>
          <t>Rating: A3 / A | CAR: 17.2%</t>
        </is>
      </c>
      <c r="E6" s="5" t="inlineStr">
        <is>
          <t>Overweight / Core Tier-1 Anchor</t>
        </is>
      </c>
    </row>
    <row r="7">
      <c r="B7" s="4" t="inlineStr">
        <is>
          <t>Loan Product Mix</t>
        </is>
      </c>
      <c r="C7" s="5" t="inlineStr">
        <is>
          <t>Consumer Islamic Financing (48%), Corporate Banking (38%), Real Estate Contracting (14%)</t>
        </is>
      </c>
      <c r="D7" s="4" t="inlineStr">
        <is>
          <t>Asset Quality</t>
        </is>
      </c>
      <c r="E7" s="5" t="inlineStr">
        <is>
          <t>NPL: 4.5% (Coverage: 115%)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Dubai Islamic Bank — 7-Year Prudential &amp; Financial History</t>
        </is>
      </c>
    </row>
    <row r="3">
      <c r="B3" s="2" t="inlineStr">
        <is>
          <t>Historical Audited Statements (2021A - 2024A) and Multi-Year Institutional Projections (2025E - 2027E) | USD Millions</t>
        </is>
      </c>
    </row>
    <row r="5">
      <c r="B5" s="6" t="inlineStr">
        <is>
          <t>BANK FINANCIAL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7" t="inlineStr">
        <is>
          <t>2025E</t>
        </is>
      </c>
      <c r="H5" s="7" t="inlineStr">
        <is>
          <t>2026E</t>
        </is>
      </c>
      <c r="I5" s="7" t="inlineStr">
        <is>
          <t>2027E</t>
        </is>
      </c>
    </row>
    <row r="6">
      <c r="B6" s="8" t="inlineStr">
        <is>
          <t>I. OPERATING PERFORMANCE &amp; P&amp;L (USD M)</t>
        </is>
      </c>
      <c r="C6" s="9" t="n"/>
      <c r="D6" s="9" t="n"/>
      <c r="E6" s="9" t="n"/>
      <c r="F6" s="9" t="n"/>
      <c r="G6" s="9" t="n"/>
      <c r="H6" s="9" t="n"/>
      <c r="I6" s="9" t="n"/>
    </row>
    <row r="7">
      <c r="B7" s="10" t="inlineStr">
        <is>
          <t>Net Interest Income (NII)</t>
        </is>
      </c>
      <c r="C7" s="11" t="n">
        <v>1128.4</v>
      </c>
      <c r="D7" s="11" t="n">
        <v>1527.7</v>
      </c>
      <c r="E7" s="11" t="n">
        <v>1631.8</v>
      </c>
      <c r="F7" s="11" t="n">
        <v>1736</v>
      </c>
      <c r="G7" s="12" t="n">
        <v>1874.9</v>
      </c>
      <c r="H7" s="12" t="n">
        <v>1996.4</v>
      </c>
      <c r="I7" s="12" t="n">
        <v>2083.2</v>
      </c>
    </row>
    <row r="8">
      <c r="B8" s="5" t="inlineStr">
        <is>
          <t>Net Fee &amp; Commission Income</t>
        </is>
      </c>
      <c r="C8" s="13" t="n">
        <v>437.5</v>
      </c>
      <c r="D8" s="13" t="n">
        <v>498.2</v>
      </c>
      <c r="E8" s="13" t="n">
        <v>559</v>
      </c>
      <c r="F8" s="13" t="n">
        <v>607.6</v>
      </c>
      <c r="G8" s="14" t="n">
        <v>656.2</v>
      </c>
      <c r="H8" s="14" t="n">
        <v>698.7</v>
      </c>
      <c r="I8" s="14" t="n">
        <v>741.3</v>
      </c>
    </row>
    <row r="9">
      <c r="B9" s="10" t="inlineStr">
        <is>
          <t>Total Operating Income (NII + Fees)</t>
        </is>
      </c>
      <c r="C9" s="11">
        <f>C7+C8</f>
        <v/>
      </c>
      <c r="D9" s="11">
        <f>D7+D8</f>
        <v/>
      </c>
      <c r="E9" s="11">
        <f>E7+E8</f>
        <v/>
      </c>
      <c r="F9" s="11">
        <f>F7+F8</f>
        <v/>
      </c>
      <c r="G9" s="12">
        <f>G7+G8</f>
        <v/>
      </c>
      <c r="H9" s="12">
        <f>H7+H8</f>
        <v/>
      </c>
      <c r="I9" s="12">
        <f>I7+I8</f>
        <v/>
      </c>
    </row>
    <row r="10">
      <c r="B10" s="5" t="inlineStr">
        <is>
          <t>Operating Expenses (Opex)</t>
        </is>
      </c>
      <c r="C10" s="13" t="n">
        <v>623.4</v>
      </c>
      <c r="D10" s="13" t="n">
        <v>730.3</v>
      </c>
      <c r="E10" s="13" t="n">
        <v>819.3</v>
      </c>
      <c r="F10" s="13" t="n">
        <v>890.6</v>
      </c>
      <c r="G10" s="14" t="n">
        <v>944</v>
      </c>
      <c r="H10" s="14" t="n">
        <v>997.4</v>
      </c>
      <c r="I10" s="14" t="n">
        <v>1050.9</v>
      </c>
    </row>
    <row r="11">
      <c r="B11" s="10" t="inlineStr">
        <is>
          <t>Pre-Provision Operating Profit (PPOP)</t>
        </is>
      </c>
      <c r="C11" s="11">
        <f>C9-C10</f>
        <v/>
      </c>
      <c r="D11" s="11">
        <f>D9-D10</f>
        <v/>
      </c>
      <c r="E11" s="11">
        <f>E9-E10</f>
        <v/>
      </c>
      <c r="F11" s="11">
        <f>F9-F10</f>
        <v/>
      </c>
      <c r="G11" s="12">
        <f>G9-G10</f>
        <v/>
      </c>
      <c r="H11" s="12">
        <f>H9-H10</f>
        <v/>
      </c>
      <c r="I11" s="12">
        <f>I9-I10</f>
        <v/>
      </c>
    </row>
    <row r="12">
      <c r="B12" s="5" t="inlineStr">
        <is>
          <t>Net Loan Impairment Provisions</t>
        </is>
      </c>
      <c r="C12" s="13" t="n">
        <v>453.6</v>
      </c>
      <c r="D12" s="13" t="n">
        <v>428.4</v>
      </c>
      <c r="E12" s="13" t="n">
        <v>478.8</v>
      </c>
      <c r="F12" s="13" t="n">
        <v>504</v>
      </c>
      <c r="G12" s="14" t="n">
        <v>478.8</v>
      </c>
      <c r="H12" s="14" t="n">
        <v>453.6</v>
      </c>
      <c r="I12" s="14" t="n">
        <v>443.5</v>
      </c>
    </row>
    <row r="13">
      <c r="B13" s="5" t="inlineStr">
        <is>
          <t>Profit Before Tax</t>
        </is>
      </c>
      <c r="C13" s="13">
        <f>C11-C12</f>
        <v/>
      </c>
      <c r="D13" s="13">
        <f>D11-D12</f>
        <v/>
      </c>
      <c r="E13" s="13">
        <f>E11-E12</f>
        <v/>
      </c>
      <c r="F13" s="13">
        <f>F11-F12</f>
        <v/>
      </c>
      <c r="G13" s="14">
        <f>G11-G12</f>
        <v/>
      </c>
      <c r="H13" s="14">
        <f>H11-H12</f>
        <v/>
      </c>
      <c r="I13" s="14">
        <f>I11-I12</f>
        <v/>
      </c>
    </row>
    <row r="14">
      <c r="B14" s="10" t="inlineStr">
        <is>
          <t>Net Income / Profit</t>
        </is>
      </c>
      <c r="C14" s="11">
        <f>C13*0.80</f>
        <v/>
      </c>
      <c r="D14" s="11">
        <f>D13*0.80</f>
        <v/>
      </c>
      <c r="E14" s="11">
        <f>E13*0.80</f>
        <v/>
      </c>
      <c r="F14" s="11">
        <f>F13*0.80</f>
        <v/>
      </c>
      <c r="G14" s="12">
        <f>G13*0.80</f>
        <v/>
      </c>
      <c r="H14" s="12">
        <f>H13*0.80</f>
        <v/>
      </c>
      <c r="I14" s="12">
        <f>I13*0.80</f>
        <v/>
      </c>
    </row>
    <row r="15">
      <c r="B15" s="8" t="inlineStr">
        <is>
          <t>II. BALANCE SHEET STRUCTURE (USD M)</t>
        </is>
      </c>
      <c r="C15" s="9" t="n"/>
      <c r="D15" s="9" t="n"/>
      <c r="E15" s="9" t="n"/>
      <c r="F15" s="9" t="n"/>
      <c r="G15" s="9" t="n"/>
      <c r="H15" s="9" t="n"/>
      <c r="I15" s="9" t="n"/>
    </row>
    <row r="16">
      <c r="B16" s="10" t="inlineStr">
        <is>
          <t>Total Assets</t>
        </is>
      </c>
      <c r="C16" s="11" t="n">
        <v>70560</v>
      </c>
      <c r="D16" s="11" t="n">
        <v>82320</v>
      </c>
      <c r="E16" s="11" t="n">
        <v>91140</v>
      </c>
      <c r="F16" s="11" t="n">
        <v>98000</v>
      </c>
      <c r="G16" s="12" t="n">
        <v>105840</v>
      </c>
      <c r="H16" s="12" t="n">
        <v>112700</v>
      </c>
      <c r="I16" s="12" t="n">
        <v>119560</v>
      </c>
    </row>
    <row r="17">
      <c r="B17" s="10" t="inlineStr">
        <is>
          <t>Gross Customer Loans</t>
        </is>
      </c>
      <c r="C17" s="11" t="n">
        <v>39200</v>
      </c>
      <c r="D17" s="11" t="n">
        <v>45920</v>
      </c>
      <c r="E17" s="11" t="n">
        <v>51520</v>
      </c>
      <c r="F17" s="11" t="n">
        <v>56000</v>
      </c>
      <c r="G17" s="12" t="n">
        <v>60480</v>
      </c>
      <c r="H17" s="12" t="n">
        <v>64960</v>
      </c>
      <c r="I17" s="12" t="n">
        <v>68880</v>
      </c>
    </row>
    <row r="18">
      <c r="B18" s="10" t="inlineStr">
        <is>
          <t>Customer Deposits</t>
        </is>
      </c>
      <c r="C18" s="11" t="n">
        <v>50320</v>
      </c>
      <c r="D18" s="11" t="n">
        <v>57800</v>
      </c>
      <c r="E18" s="11" t="n">
        <v>63920</v>
      </c>
      <c r="F18" s="11" t="n">
        <v>68000</v>
      </c>
      <c r="G18" s="12" t="n">
        <v>72760</v>
      </c>
      <c r="H18" s="12" t="n">
        <v>77520</v>
      </c>
      <c r="I18" s="12" t="n">
        <v>81600</v>
      </c>
    </row>
    <row r="19">
      <c r="B19" s="10" t="inlineStr">
        <is>
          <t>Total Shareholders' Equity (Core Tier-1)</t>
        </is>
      </c>
      <c r="C19" s="11" t="n">
        <v>7996.8</v>
      </c>
      <c r="D19" s="11" t="n">
        <v>9408</v>
      </c>
      <c r="E19" s="11" t="n">
        <v>10584</v>
      </c>
      <c r="F19" s="11" t="n">
        <v>11760</v>
      </c>
      <c r="G19" s="12" t="n">
        <v>13171.2</v>
      </c>
      <c r="H19" s="12" t="n">
        <v>14582.4</v>
      </c>
      <c r="I19" s="12" t="n">
        <v>15993.6</v>
      </c>
    </row>
    <row r="20">
      <c r="B20" s="8" t="inlineStr">
        <is>
          <t>III. PRUDENTIAL &amp; REGULATORY RATIOS (2021A - 2027E)</t>
        </is>
      </c>
      <c r="C20" s="9" t="n"/>
      <c r="D20" s="9" t="n"/>
      <c r="E20" s="9" t="n"/>
      <c r="F20" s="9" t="n"/>
      <c r="G20" s="9" t="n"/>
      <c r="H20" s="9" t="n"/>
      <c r="I20" s="9" t="n"/>
    </row>
    <row r="21">
      <c r="B21" s="10" t="inlineStr">
        <is>
          <t>Net Interest Margin (NIM %)</t>
        </is>
      </c>
      <c r="C21" s="15">
        <f>C7/C17</f>
        <v/>
      </c>
      <c r="D21" s="15">
        <f>D7/D17</f>
        <v/>
      </c>
      <c r="E21" s="15">
        <f>E7/E17</f>
        <v/>
      </c>
      <c r="F21" s="15">
        <f>F7/F17</f>
        <v/>
      </c>
      <c r="G21" s="16">
        <f>G7/G17</f>
        <v/>
      </c>
      <c r="H21" s="16">
        <f>H7/H17</f>
        <v/>
      </c>
      <c r="I21" s="16">
        <f>I7/I17</f>
        <v/>
      </c>
    </row>
    <row r="22">
      <c r="B22" s="5" t="inlineStr">
        <is>
          <t>Cost-to-Income Ratio (CIR %)</t>
        </is>
      </c>
      <c r="C22" s="17">
        <f>C10/C9</f>
        <v/>
      </c>
      <c r="D22" s="17">
        <f>D10/D9</f>
        <v/>
      </c>
      <c r="E22" s="17">
        <f>E10/E9</f>
        <v/>
      </c>
      <c r="F22" s="17">
        <f>F10/F9</f>
        <v/>
      </c>
      <c r="G22" s="18">
        <f>G10/G9</f>
        <v/>
      </c>
      <c r="H22" s="18">
        <f>H10/H9</f>
        <v/>
      </c>
      <c r="I22" s="18">
        <f>I10/I9</f>
        <v/>
      </c>
    </row>
    <row r="23">
      <c r="B23" s="10" t="inlineStr">
        <is>
          <t>Return on Equity (ROE %)</t>
        </is>
      </c>
      <c r="C23" s="15">
        <f>C14/C19</f>
        <v/>
      </c>
      <c r="D23" s="15">
        <f>D14/D19</f>
        <v/>
      </c>
      <c r="E23" s="15">
        <f>E14/E19</f>
        <v/>
      </c>
      <c r="F23" s="15">
        <f>F14/F19</f>
        <v/>
      </c>
      <c r="G23" s="16">
        <f>G14/G19</f>
        <v/>
      </c>
      <c r="H23" s="16">
        <f>H14/H19</f>
        <v/>
      </c>
      <c r="I23" s="16">
        <f>I14/I19</f>
        <v/>
      </c>
    </row>
    <row r="24">
      <c r="B24" s="5" t="inlineStr">
        <is>
          <t>Return on Assets (ROA %)</t>
        </is>
      </c>
      <c r="C24" s="17">
        <f>C14/C16</f>
        <v/>
      </c>
      <c r="D24" s="17">
        <f>D14/D16</f>
        <v/>
      </c>
      <c r="E24" s="17">
        <f>E14/E16</f>
        <v/>
      </c>
      <c r="F24" s="17">
        <f>F14/F16</f>
        <v/>
      </c>
      <c r="G24" s="18">
        <f>G14/G16</f>
        <v/>
      </c>
      <c r="H24" s="18">
        <f>H14/H16</f>
        <v/>
      </c>
      <c r="I24" s="18">
        <f>I14/I16</f>
        <v/>
      </c>
    </row>
    <row r="25">
      <c r="B25" s="5" t="inlineStr">
        <is>
          <t>Loan-to-Deposit Ratio (LDR %)</t>
        </is>
      </c>
      <c r="C25" s="17">
        <f>C17/C18</f>
        <v/>
      </c>
      <c r="D25" s="17">
        <f>D17/D18</f>
        <v/>
      </c>
      <c r="E25" s="17">
        <f>E17/E18</f>
        <v/>
      </c>
      <c r="F25" s="17">
        <f>F17/F18</f>
        <v/>
      </c>
      <c r="G25" s="18">
        <f>G17/G18</f>
        <v/>
      </c>
      <c r="H25" s="18">
        <f>H17/H18</f>
        <v/>
      </c>
      <c r="I25" s="18">
        <f>I17/I18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2026-09-19T17:13:39Z</dcterms:created>
  <dcterms:modified xmlns:dcterms="http://purl.org/dc/terms/" xmlns:xsi="http://www.w3.org/2001/XMLSchema-instance" xsi:type="dcterms:W3CDTF">2026-09-19T17:13:39Z</dcterms:modified>
</cp:coreProperties>
</file>
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Debt Schedule &amp;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  <xf numFmtId="0" fontId="5" fillId="3" borderId="2" pivotButton="0" quotePrefix="0" xfId="0"/>
    <xf numFmtId="165" fontId="5" fillId="3" borderId="2" pivotButton="0" quotePrefix="0" xfId="0"/>
    <xf numFmtId="0" fontId="3" fillId="2" borderId="0" pivotButton="0" quotePrefix="0" xfId="0"/>
    <xf numFmtId="165" fontId="5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Ittihad International Investment</t>
        </is>
      </c>
    </row>
    <row r="3">
      <c r="B3" s="2" t="inlineStr">
        <is>
          <t>CEMBI CEEMEA / GCC Credit Assessment | Country: United Arab Emirates | Sector: Industrials / Paper, Copper &amp; Chemicals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ITTIHAD 8.50% 2028 USD Senior Notes / Sukuk ($350M)</t>
        </is>
      </c>
      <c r="D6" s="4" t="inlineStr">
        <is>
          <t>Agency Rating</t>
        </is>
      </c>
      <c r="E6" s="5" t="inlineStr">
        <is>
          <t>B+ / B1 (Fitch/Moody's)</t>
        </is>
      </c>
    </row>
    <row r="7">
      <c r="B7" s="4" t="inlineStr">
        <is>
          <t>Clean Price</t>
        </is>
      </c>
      <c r="C7" s="6" t="n">
        <v>98.5</v>
      </c>
      <c r="D7" s="4" t="inlineStr">
        <is>
          <t>Recommendation</t>
        </is>
      </c>
      <c r="E7" s="7" t="inlineStr">
        <is>
          <t>Overweight / High Conviction Carry</t>
        </is>
      </c>
    </row>
    <row r="8">
      <c r="B8" s="4" t="inlineStr">
        <is>
          <t>Yield to Maturity (YTM)</t>
        </is>
      </c>
      <c r="C8" s="8" t="n">
        <v>0.091</v>
      </c>
      <c r="D8" s="4" t="inlineStr">
        <is>
          <t>Z-Spread</t>
        </is>
      </c>
      <c r="E8" s="5" t="inlineStr">
        <is>
          <t>+505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</t>
        </is>
      </c>
      <c r="C11" s="10" t="n">
        <v>1050</v>
      </c>
      <c r="D11" s="10">
        <f>C11*0.80</f>
        <v/>
      </c>
      <c r="E11" s="11" t="inlineStr">
        <is>
          <t>Recognized revenue under baseline vs macro stress</t>
        </is>
      </c>
    </row>
    <row r="12">
      <c r="B12" s="9" t="inlineStr">
        <is>
          <t>EBITDA</t>
        </is>
      </c>
      <c r="C12" s="10" t="n">
        <v>195</v>
      </c>
      <c r="D12" s="10">
        <f>C12*0.75</f>
        <v/>
      </c>
      <c r="E12" s="11" t="inlineStr">
        <is>
          <t>Margin: 18.6% of revenue</t>
        </is>
      </c>
    </row>
    <row r="13">
      <c r="B13" s="9" t="inlineStr">
        <is>
          <t>Capital Expenditures &amp; Land Capex</t>
        </is>
      </c>
      <c r="C13" s="10" t="n">
        <v>50</v>
      </c>
      <c r="D13" s="10">
        <f>C13*0.80</f>
        <v/>
      </c>
      <c r="E13" s="11" t="inlineStr">
        <is>
          <t>Development capex and infrastructure outlays</t>
        </is>
      </c>
    </row>
    <row r="14">
      <c r="B14" s="9" t="inlineStr">
        <is>
          <t>Free Cash Flow (FCF)</t>
        </is>
      </c>
      <c r="C14" s="10">
        <f>C12-C13-C16</f>
        <v/>
      </c>
      <c r="D14" s="10">
        <f>D12-D13-D16</f>
        <v/>
      </c>
      <c r="E14" s="11" t="inlineStr">
        <is>
          <t>Operating FCF after interest and capex</t>
        </is>
      </c>
    </row>
    <row r="15">
      <c r="B15" s="9" t="inlineStr">
        <is>
          <t>Cash &amp; Escrow Balances</t>
        </is>
      </c>
      <c r="C15" s="10" t="n">
        <v>110</v>
      </c>
      <c r="D15" s="10">
        <f>C15*0.90</f>
        <v/>
      </c>
      <c r="E15" s="11" t="inlineStr">
        <is>
          <t>Liquid cash plus regulated project escrow accounts</t>
        </is>
      </c>
    </row>
    <row r="16">
      <c r="B16" s="9" t="inlineStr">
        <is>
          <t>Annual Interest / Profit Payment</t>
        </is>
      </c>
      <c r="C16" s="10" t="n">
        <v>52</v>
      </c>
      <c r="D16" s="10">
        <f>C16</f>
        <v/>
      </c>
      <c r="E16" s="11" t="inlineStr">
        <is>
          <t>Sukuk profit distribution and bank debt interest</t>
        </is>
      </c>
    </row>
    <row r="17">
      <c r="B17" s="9" t="inlineStr">
        <is>
          <t>Gross Debt (Sukuk &amp; Bank Lines)</t>
        </is>
      </c>
      <c r="C17" s="10" t="n">
        <v>580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</t>
        </is>
      </c>
      <c r="C18" s="10">
        <f>C17-C15</f>
        <v/>
      </c>
      <c r="D18" s="10">
        <f>D17-D15</f>
        <v/>
      </c>
      <c r="E18" s="11" t="inlineStr">
        <is>
          <t>Gross Debt minus liquid cash/escrow</t>
        </is>
      </c>
    </row>
    <row r="19">
      <c r="B19" s="9" t="inlineStr">
        <is>
          <t>Net Debt / EBITDA (Leverage)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EBITDA / Interest (Coverage)</t>
        </is>
      </c>
      <c r="C20" s="13">
        <f>C12/C16</f>
        <v/>
      </c>
      <c r="D20" s="13">
        <f>D12/D16</f>
        <v/>
      </c>
      <c r="E20" s="11" t="inlineStr">
        <is>
          <t>Profit service capacity buffer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SUKUK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1380</v>
      </c>
      <c r="D23" s="5" t="inlineStr">
        <is>
          <t>100%</t>
        </is>
      </c>
      <c r="E23" s="15" t="n">
        <v>102</v>
      </c>
    </row>
    <row r="24">
      <c r="B24" s="5" t="inlineStr">
        <is>
          <t>Base Case (Normalized Project Delivery)</t>
        </is>
      </c>
      <c r="C24" s="10" t="n">
        <v>1200</v>
      </c>
      <c r="D24" s="5" t="inlineStr">
        <is>
          <t>100%</t>
        </is>
      </c>
      <c r="E24" s="15" t="n">
        <v>98.5</v>
      </c>
    </row>
    <row r="25">
      <c r="B25" s="5" t="inlineStr">
        <is>
          <t>Downside Stress Case (Market Slowdown)</t>
        </is>
      </c>
      <c r="C25" s="10" t="n">
        <v>840</v>
      </c>
      <c r="D25" s="5" t="inlineStr">
        <is>
          <t>100%</t>
        </is>
      </c>
      <c r="E25" s="15" t="n">
        <v>76</v>
      </c>
    </row>
    <row r="26">
      <c r="B26" s="16" t="inlineStr">
        <is>
          <t>Liquidation Floor (Land Bank &amp; Collateral)</t>
        </is>
      </c>
      <c r="C26" s="17" t="n">
        <v>540</v>
      </c>
      <c r="D26" s="16" t="inlineStr">
        <is>
          <t>Collateral Moat</t>
        </is>
      </c>
      <c r="E26" s="1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2">
      <c r="B2" s="1" t="inlineStr">
        <is>
          <t>Ittihad International Investment — Debt Schedule &amp; Sensitivity Matrix</t>
        </is>
      </c>
    </row>
    <row r="4">
      <c r="B4" s="3" t="inlineStr">
        <is>
          <t>CAPITAL STRUCTURE TRANCHE</t>
        </is>
      </c>
      <c r="C4" s="3" t="inlineStr">
        <is>
          <t>AMOUNT (USD M)</t>
        </is>
      </c>
      <c r="D4" s="3" t="inlineStr">
        <is>
          <t>PROFIT / SPREAD</t>
        </is>
      </c>
      <c r="E4" s="3" t="inlineStr">
        <is>
          <t>MATURITY</t>
        </is>
      </c>
      <c r="F4" s="3" t="inlineStr">
        <is>
          <t>SENIORITY / SECURITY</t>
        </is>
      </c>
    </row>
    <row r="5">
      <c r="B5" s="5" t="inlineStr">
        <is>
          <t>Unrestricted Cash &amp; Liquid Balances</t>
        </is>
      </c>
      <c r="C5" s="10" t="n">
        <v>49.5</v>
      </c>
      <c r="D5" s="5" t="inlineStr">
        <is>
          <t>EIBOR / SAIBOR</t>
        </is>
      </c>
      <c r="E5" s="5" t="inlineStr">
        <is>
          <t>Immediate</t>
        </is>
      </c>
      <c r="F5" s="5" t="inlineStr">
        <is>
          <t>Free Liquidity</t>
        </is>
      </c>
    </row>
    <row r="6">
      <c r="B6" s="5" t="inlineStr">
        <is>
          <t>Project Escrow Accounts (RERA / Wafi)</t>
        </is>
      </c>
      <c r="C6" s="10" t="n">
        <v>60.50000000000001</v>
      </c>
      <c r="D6" s="5" t="inlineStr">
        <is>
          <t>Escrow yield</t>
        </is>
      </c>
      <c r="E6" s="5" t="inlineStr">
        <is>
          <t>Project-linked</t>
        </is>
      </c>
      <c r="F6" s="5" t="inlineStr">
        <is>
          <t>Ring-fenced Construction Collateral</t>
        </is>
      </c>
    </row>
    <row r="7">
      <c r="B7" s="5" t="inlineStr">
        <is>
          <t>Secured Bank Bilateral &amp; Syndicated Lines</t>
        </is>
      </c>
      <c r="C7" s="10" t="n">
        <v>203</v>
      </c>
      <c r="D7" s="5" t="inlineStr">
        <is>
          <t>EIBOR + 275 bp</t>
        </is>
      </c>
      <c r="E7" s="5" t="inlineStr">
        <is>
          <t>2026 - 2028</t>
        </is>
      </c>
      <c r="F7" s="5" t="inlineStr">
        <is>
          <t>First Mortgage on Land / Projects</t>
        </is>
      </c>
    </row>
    <row r="8">
      <c r="B8" s="5" t="inlineStr">
        <is>
          <t>Senior Unsecured USD Sukuk / Trust Certs</t>
        </is>
      </c>
      <c r="C8" s="10" t="n">
        <v>377</v>
      </c>
      <c r="D8" s="5" t="inlineStr">
        <is>
          <t>9.1% Fixed</t>
        </is>
      </c>
      <c r="E8" s="5" t="inlineStr">
        <is>
          <t>($350M)</t>
        </is>
      </c>
      <c r="F8" s="5" t="inlineStr">
        <is>
          <t>Senior Pari Passu (Ijara / Murabaha)</t>
        </is>
      </c>
    </row>
    <row r="9">
      <c r="B9" s="19" t="inlineStr">
        <is>
          <t>TOTAL GROSS DEBT</t>
        </is>
      </c>
      <c r="C9" s="20">
        <f>SUM(C7:C8)</f>
        <v/>
      </c>
      <c r="D9" s="19" t="inlineStr">
        <is>
          <t>Blended Cost</t>
        </is>
      </c>
      <c r="E9" s="19" t="inlineStr">
        <is>
          <t>-</t>
        </is>
      </c>
      <c r="F9" s="19" t="inlineStr">
        <is>
          <t>-</t>
        </is>
      </c>
    </row>
    <row r="12">
      <c r="B12" t="inlineStr">
        <is>
          <t>EBITDA SENSITIVITY vs EV MULTIPLE (IMPLIED BOND VALUE)</t>
        </is>
      </c>
    </row>
    <row r="13">
      <c r="B13" s="21" t="inlineStr">
        <is>
          <t>EBITDA Stress / Scenario</t>
        </is>
      </c>
      <c r="C13" s="3" t="inlineStr">
        <is>
          <t>3.0x EV Multiple</t>
        </is>
      </c>
      <c r="D13" s="3" t="inlineStr">
        <is>
          <t>4.0x EV Multiple</t>
        </is>
      </c>
      <c r="E13" s="3" t="inlineStr">
        <is>
          <t>5.0x EV Multiple</t>
        </is>
      </c>
      <c r="F13" s="3" t="inlineStr">
        <is>
          <t>6.0x EV Multiple</t>
        </is>
      </c>
    </row>
    <row r="14">
      <c r="B14" s="9" t="inlineStr">
        <is>
          <t>Base Case EBITDA ($195.0M)</t>
        </is>
      </c>
      <c r="C14" s="22" t="n">
        <v>101.3</v>
      </c>
      <c r="D14" s="22" t="n">
        <v>105</v>
      </c>
      <c r="E14" s="22" t="n">
        <v>105</v>
      </c>
      <c r="F14" s="22" t="n">
        <v>105</v>
      </c>
    </row>
    <row r="15">
      <c r="B15" s="9" t="inlineStr">
        <is>
          <t>-15% Stress (Presale Slowdown) ($166.0M)</t>
        </is>
      </c>
      <c r="C15" s="23" t="n">
        <v>78.09999999999999</v>
      </c>
      <c r="D15" s="22" t="n">
        <v>105</v>
      </c>
      <c r="E15" s="22" t="n">
        <v>105</v>
      </c>
      <c r="F15" s="22" t="n">
        <v>105</v>
      </c>
    </row>
    <row r="16">
      <c r="B16" s="9" t="inlineStr">
        <is>
          <t>-30% Stress (Severe Property Downturn) ($136.0M)</t>
        </is>
      </c>
      <c r="C16" s="24" t="n">
        <v>54.8</v>
      </c>
      <c r="D16" s="23" t="n">
        <v>91</v>
      </c>
      <c r="E16" s="22" t="n">
        <v>105</v>
      </c>
      <c r="F16" s="22" t="n">
        <v>105</v>
      </c>
    </row>
    <row r="17">
      <c r="B17" s="9" t="inlineStr">
        <is>
          <t>+15% Upside (Expansion Run-Rate) ($224.0M)</t>
        </is>
      </c>
      <c r="C17" s="22" t="n">
        <v>105</v>
      </c>
      <c r="D17" s="22" t="n">
        <v>105</v>
      </c>
      <c r="E17" s="22" t="n">
        <v>105</v>
      </c>
      <c r="F17" s="2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2026-09-19T06:28:40Z</dcterms:created>
  <dcterms:modified xmlns:dcterms="http://purl.org/dc/terms/" xmlns:xsi="http://www.w3.org/2001/XMLSchema-instance" xsi:type="dcterms:W3CDTF">2026-09-19T06:28:40Z</dcterms:modified>
</cp:coreProperties>
</file>
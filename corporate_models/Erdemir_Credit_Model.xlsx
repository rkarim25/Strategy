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Erdemir</t>
        </is>
      </c>
    </row>
    <row r="3">
      <c r="B3" s="2" t="inlineStr">
        <is>
          <t>CEMBI CEEMEA Assessment | Country: Turkey | Sector: Materials | Benchmark: EREGL 7.95% 2029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$98.50 (7.95% YTM)</t>
        </is>
      </c>
      <c r="D6" s="4" t="inlineStr">
        <is>
          <t>BB- / B1 (+355 bp)</t>
        </is>
      </c>
      <c r="E6" s="5" t="inlineStr">
        <is>
          <t>Overweight / Conviction</t>
        </is>
      </c>
    </row>
    <row r="7">
      <c r="B7" s="4" t="inlineStr">
        <is>
          <t>Sector &amp; Product Mix</t>
        </is>
      </c>
      <c r="C7" s="5" t="inlineStr">
        <is>
          <t>Hot Rolled Coil (HRC: 54%), Cold Rolled &amp; Galvanized (32%), Plate &amp; Tinplate (14%)</t>
        </is>
      </c>
      <c r="D7" s="4" t="inlineStr">
        <is>
          <t>Recovery Floor</t>
        </is>
      </c>
      <c r="E7" s="5" t="inlineStr">
        <is>
          <t>$75.00 (Base $101.00)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$101.00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$88.00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$75.00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Erdemir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4624</v>
      </c>
      <c r="D7" s="15" t="n">
        <v>5576</v>
      </c>
      <c r="E7" s="15" t="n">
        <v>6256</v>
      </c>
      <c r="F7" s="15" t="n">
        <v>6800</v>
      </c>
      <c r="G7" s="16" t="n">
        <v>7344</v>
      </c>
      <c r="H7" s="16" t="n">
        <v>7820</v>
      </c>
      <c r="I7" s="16" t="n">
        <v>8160</v>
      </c>
    </row>
    <row r="8">
      <c r="B8" s="5" t="inlineStr">
        <is>
          <t>Cost of Goods Sold (COGS)</t>
        </is>
      </c>
      <c r="C8" s="17" t="n">
        <v>2760.8</v>
      </c>
      <c r="D8" s="17" t="n">
        <v>3352.4</v>
      </c>
      <c r="E8" s="17" t="n">
        <v>3667.9</v>
      </c>
      <c r="F8" s="17" t="n">
        <v>3944</v>
      </c>
      <c r="G8" s="18" t="n">
        <v>4220.1</v>
      </c>
      <c r="H8" s="18" t="n">
        <v>4456.7</v>
      </c>
      <c r="I8" s="18" t="n">
        <v>4653.9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1444.3</v>
      </c>
      <c r="D11" s="17" t="n">
        <v>1644.9</v>
      </c>
      <c r="E11" s="17" t="n">
        <v>1845.5</v>
      </c>
      <c r="F11" s="17" t="n">
        <v>2006</v>
      </c>
      <c r="G11" s="18" t="n">
        <v>2126.4</v>
      </c>
      <c r="H11" s="18" t="n">
        <v>2246.7</v>
      </c>
      <c r="I11" s="18" t="n">
        <v>2327</v>
      </c>
    </row>
    <row r="12">
      <c r="B12" s="14" t="inlineStr">
        <is>
          <t>EBITDA</t>
        </is>
      </c>
      <c r="C12" s="15" t="n">
        <v>552.5</v>
      </c>
      <c r="D12" s="15" t="n">
        <v>680</v>
      </c>
      <c r="E12" s="15" t="n">
        <v>765</v>
      </c>
      <c r="F12" s="15" t="n">
        <v>850</v>
      </c>
      <c r="G12" s="16" t="n">
        <v>935</v>
      </c>
      <c r="H12" s="16" t="n">
        <v>1003</v>
      </c>
      <c r="I12" s="16" t="n">
        <v>1054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238</v>
      </c>
      <c r="D14" s="17" t="n">
        <v>261.8</v>
      </c>
      <c r="E14" s="17" t="n">
        <v>282.6</v>
      </c>
      <c r="F14" s="17" t="n">
        <v>297.5</v>
      </c>
      <c r="G14" s="18" t="n">
        <v>312.4</v>
      </c>
      <c r="H14" s="18" t="n">
        <v>327.2</v>
      </c>
      <c r="I14" s="18" t="n">
        <v>342.1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113.3</v>
      </c>
      <c r="D16" s="17" t="n">
        <v>141.7</v>
      </c>
      <c r="E16" s="17" t="n">
        <v>170</v>
      </c>
      <c r="F16" s="17" t="n">
        <v>188.9</v>
      </c>
      <c r="G16" s="18" t="n">
        <v>181.3</v>
      </c>
      <c r="H16" s="18" t="n">
        <v>173.8</v>
      </c>
      <c r="I16" s="18" t="n">
        <v>166.2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411.1</v>
      </c>
      <c r="D20" s="15" t="n">
        <v>517.1</v>
      </c>
      <c r="E20" s="15" t="n">
        <v>583.4</v>
      </c>
      <c r="F20" s="15" t="n">
        <v>663</v>
      </c>
      <c r="G20" s="16" t="n">
        <v>729.3</v>
      </c>
      <c r="H20" s="16" t="n">
        <v>782.3</v>
      </c>
      <c r="I20" s="16" t="n">
        <v>828.8</v>
      </c>
    </row>
    <row r="21">
      <c r="B21" s="5" t="inlineStr">
        <is>
          <t>Capital Expenditures (Capex)</t>
        </is>
      </c>
      <c r="C21" s="17" t="n">
        <v>380.8</v>
      </c>
      <c r="D21" s="17" t="n">
        <v>462.4</v>
      </c>
      <c r="E21" s="17" t="n">
        <v>516.8</v>
      </c>
      <c r="F21" s="17" t="n">
        <v>544</v>
      </c>
      <c r="G21" s="18" t="n">
        <v>571.2</v>
      </c>
      <c r="H21" s="18" t="n">
        <v>554.9</v>
      </c>
      <c r="I21" s="18" t="n">
        <v>533.1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673.2</v>
      </c>
      <c r="D24" s="17" t="n">
        <v>856.8</v>
      </c>
      <c r="E24" s="17" t="n">
        <v>1040.4</v>
      </c>
      <c r="F24" s="17" t="n">
        <v>1224</v>
      </c>
      <c r="G24" s="18" t="n">
        <v>1444.3</v>
      </c>
      <c r="H24" s="18" t="n">
        <v>1652.4</v>
      </c>
      <c r="I24" s="18" t="n">
        <v>1836</v>
      </c>
    </row>
    <row r="25">
      <c r="B25" s="14" t="inlineStr">
        <is>
          <t>Gross Debt (Loans + Eurobonds/Sukuk)</t>
        </is>
      </c>
      <c r="C25" s="15" t="n">
        <v>2485.4</v>
      </c>
      <c r="D25" s="15" t="n">
        <v>2690.1</v>
      </c>
      <c r="E25" s="15" t="n">
        <v>2865.5</v>
      </c>
      <c r="F25" s="15" t="n">
        <v>2924</v>
      </c>
      <c r="G25" s="16" t="n">
        <v>2865.5</v>
      </c>
      <c r="H25" s="16" t="n">
        <v>2777.8</v>
      </c>
      <c r="I25" s="16" t="n">
        <v>2631.6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2026-09-19T17:13:41Z</dcterms:created>
  <dcterms:modified xmlns:dcterms="http://purl.org/dc/terms/" xmlns:xsi="http://www.w3.org/2001/XMLSchema-instance" xsi:type="dcterms:W3CDTF">2026-09-19T17:13:41Z</dcterms:modified>
</cp:coreProperties>
</file>
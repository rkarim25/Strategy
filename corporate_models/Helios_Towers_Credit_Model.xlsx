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 Summary" sheetId="1" state="visible" r:id="rId1"/>
    <sheet xmlns:r="http://schemas.openxmlformats.org/officeDocument/2006/relationships" name="Historical Financials &amp; Rat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"/>
    <numFmt numFmtId="165" formatCode="0.0%"/>
    <numFmt numFmtId="166" formatCode="0.00&quot;x&quot;"/>
  </numFmts>
  <fonts count="7">
    <font>
      <name val="Calibri"/>
      <family val="2"/>
      <color theme="1"/>
      <sz val="11"/>
      <scheme val="minor"/>
    </font>
    <font>
      <name val="Calibri"/>
      <b val="1"/>
      <color rgb="001B365D"/>
      <sz val="13"/>
    </font>
    <font>
      <name val="Calibri"/>
      <i val="1"/>
      <color rgb="00555555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2F4F8"/>
        <bgColor rgb="00F2F4F8"/>
      </patternFill>
    </fill>
    <fill>
      <patternFill patternType="solid">
        <fgColor rgb="002C3E50"/>
        <bgColor rgb="002C3E50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  <xf numFmtId="0" fontId="3" fillId="4" borderId="0" applyAlignment="1" pivotButton="0" quotePrefix="0" xfId="0">
      <alignment horizontal="center"/>
    </xf>
    <xf numFmtId="0" fontId="0" fillId="0" borderId="1" pivotButton="0" quotePrefix="0" xfId="0"/>
    <xf numFmtId="0" fontId="4" fillId="5" borderId="1" pivotButton="0" quotePrefix="0" xfId="0"/>
    <xf numFmtId="0" fontId="0" fillId="6" borderId="1" pivotButton="0" quotePrefix="0" xfId="0"/>
    <xf numFmtId="0" fontId="4" fillId="6" borderId="1" pivotButton="0" quotePrefix="0" xfId="0"/>
    <xf numFmtId="0" fontId="3" fillId="2" borderId="0" pivotButton="0" quotePrefix="0" xfId="0"/>
    <xf numFmtId="0" fontId="6" fillId="4" borderId="0" pivotButton="0" quotePrefix="0" xfId="0"/>
    <xf numFmtId="0" fontId="0" fillId="4" borderId="1" pivotButton="0" quotePrefix="0" xfId="0"/>
    <xf numFmtId="0" fontId="4" fillId="0" borderId="1" pivotButton="0" quotePrefix="0" xfId="0"/>
    <xf numFmtId="164" fontId="4" fillId="0" borderId="1" pivotButton="0" quotePrefix="0" xfId="0"/>
    <xf numFmtId="164" fontId="4" fillId="3" borderId="1" pivotButton="0" quotePrefix="0" xfId="0"/>
    <xf numFmtId="164" fontId="0" fillId="0" borderId="1" pivotButton="0" quotePrefix="0" xfId="0"/>
    <xf numFmtId="164" fontId="0" fillId="3" borderId="1" pivotButton="0" quotePrefix="0" xfId="0"/>
    <xf numFmtId="165" fontId="0" fillId="0" borderId="1" pivotButton="0" quotePrefix="0" xfId="0"/>
    <xf numFmtId="165" fontId="0" fillId="3" borderId="1" pivotButton="0" quotePrefix="0" xfId="0"/>
    <xf numFmtId="165" fontId="4" fillId="0" borderId="1" pivotButton="0" quotePrefix="0" xfId="0"/>
    <xf numFmtId="165" fontId="4" fillId="3" borderId="1" pivotButton="0" quotePrefix="0" xfId="0"/>
    <xf numFmtId="166" fontId="4" fillId="0" borderId="1" pivotButton="0" quotePrefix="0" xfId="0"/>
    <xf numFmtId="166" fontId="4" fillId="3" borderId="1" pivotButton="0" quotePrefix="0" xfId="0"/>
    <xf numFmtId="166" fontId="0" fillId="0" borderId="1" pivotButton="0" quotePrefix="0" xfId="0"/>
    <xf numFmtId="166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3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8" customWidth="1" min="2" max="2"/>
    <col width="32" customWidth="1" min="3" max="3"/>
    <col width="28" customWidth="1" min="4" max="4"/>
    <col width="32" customWidth="1" min="5" max="5"/>
  </cols>
  <sheetData>
    <row r="2">
      <c r="B2" s="1" t="inlineStr">
        <is>
          <t>Helios Towers</t>
        </is>
      </c>
    </row>
    <row r="3">
      <c r="B3" s="2" t="inlineStr">
        <is>
          <t>CEMBI CEEMEA Assessment | Country: Pan-Africa | Sector: Technology | Benchmark: HT 8.75% 2028</t>
        </is>
      </c>
    </row>
    <row r="5">
      <c r="B5" s="3" t="inlineStr">
        <is>
          <t>TRADING BENCHMARK</t>
        </is>
      </c>
      <c r="C5" s="3" t="inlineStr">
        <is>
          <t>PRICE / YTM</t>
        </is>
      </c>
      <c r="D5" s="3" t="inlineStr">
        <is>
          <t>RATINGS &amp; SPREAD</t>
        </is>
      </c>
      <c r="E5" s="3" t="inlineStr">
        <is>
          <t>STRATEGY STANCE</t>
        </is>
      </c>
    </row>
    <row r="6">
      <c r="B6" s="4" t="inlineStr">
        <is>
          <t>Benchmark Bond</t>
        </is>
      </c>
      <c r="C6" s="5" t="inlineStr">
        <is>
          <t>$94.25 (8.75% YTM)</t>
        </is>
      </c>
      <c r="D6" s="4" t="inlineStr">
        <is>
          <t>B / B2 (+440 bp)</t>
        </is>
      </c>
      <c r="E6" s="5" t="inlineStr">
        <is>
          <t>Selective Carry</t>
        </is>
      </c>
    </row>
    <row r="7">
      <c r="B7" s="4" t="inlineStr">
        <is>
          <t>Sector &amp; Product Mix</t>
        </is>
      </c>
      <c r="C7" s="5" t="inlineStr">
        <is>
          <t>Tanzania Towers (36%), DRC (24%), Oman (16%), Senegal/Ghana/South Africa (24%)</t>
        </is>
      </c>
      <c r="D7" s="4" t="inlineStr">
        <is>
          <t>Recovery Floor</t>
        </is>
      </c>
      <c r="E7" s="5" t="inlineStr">
        <is>
          <t>$65.00 (Base $97.50)</t>
        </is>
      </c>
    </row>
    <row r="9">
      <c r="B9" s="6" t="inlineStr">
        <is>
          <t>RECOVERY SCENARIO</t>
        </is>
      </c>
      <c r="C9" s="6" t="inlineStr">
        <is>
          <t>ENTERPRISE VAL</t>
        </is>
      </c>
      <c r="D9" s="6" t="inlineStr">
        <is>
          <t>BOND RECOVERY</t>
        </is>
      </c>
      <c r="E9" s="6" t="inlineStr">
        <is>
          <t>IMPLIED PRICE</t>
        </is>
      </c>
    </row>
    <row r="10">
      <c r="B10" s="7" t="inlineStr">
        <is>
          <t>Bull Case (Cycle Expansion)</t>
        </is>
      </c>
      <c r="C10" s="7" t="inlineStr">
        <is>
          <t>115% of Base</t>
        </is>
      </c>
      <c r="D10" s="7" t="inlineStr">
        <is>
          <t>100% Par</t>
        </is>
      </c>
      <c r="E10" s="8" t="inlineStr">
        <is>
          <t>$102.50</t>
        </is>
      </c>
    </row>
    <row r="11">
      <c r="B11" s="7" t="inlineStr">
        <is>
          <t>Base Case (Steady Operation)</t>
        </is>
      </c>
      <c r="C11" s="7" t="inlineStr">
        <is>
          <t>100% Baseline</t>
        </is>
      </c>
      <c r="D11" s="7" t="inlineStr">
        <is>
          <t>100% Par</t>
        </is>
      </c>
      <c r="E11" s="8" t="inlineStr">
        <is>
          <t>$97.50</t>
        </is>
      </c>
    </row>
    <row r="12">
      <c r="B12" s="7" t="inlineStr">
        <is>
          <t>Stress Case (Severe Macro Shock)</t>
        </is>
      </c>
      <c r="C12" s="7" t="inlineStr">
        <is>
          <t>75% Distressed</t>
        </is>
      </c>
      <c r="D12" s="7" t="inlineStr">
        <is>
          <t>Haircut</t>
        </is>
      </c>
      <c r="E12" s="8" t="inlineStr">
        <is>
          <t>$81.25</t>
        </is>
      </c>
    </row>
    <row r="13">
      <c r="B13" s="9" t="inlineStr">
        <is>
          <t>Liquidation Floor (Hard Assets/Collateral)</t>
        </is>
      </c>
      <c r="C13" s="9" t="inlineStr">
        <is>
          <t>45% Fire Sale</t>
        </is>
      </c>
      <c r="D13" s="9" t="inlineStr">
        <is>
          <t>Collateral Moat</t>
        </is>
      </c>
      <c r="E13" s="10" t="inlineStr">
        <is>
          <t>$65.00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32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1" t="inlineStr">
        <is>
          <t>Helios Towers — 7-Year Historical &amp; Forecast Financials</t>
        </is>
      </c>
    </row>
    <row r="3">
      <c r="B3" s="2" t="inlineStr">
        <is>
          <t>Audited Reported Figures (2021A - 2024A) and Institutional Baseline Projections (2025E - 2027E) | USD Millions</t>
        </is>
      </c>
    </row>
    <row r="5">
      <c r="B5" s="11" t="inlineStr">
        <is>
          <t>FINANCIAL STATEMENT LINE ITEM</t>
        </is>
      </c>
      <c r="C5" s="3" t="inlineStr">
        <is>
          <t>2021A</t>
        </is>
      </c>
      <c r="D5" s="3" t="inlineStr">
        <is>
          <t>2022A</t>
        </is>
      </c>
      <c r="E5" s="3" t="inlineStr">
        <is>
          <t>2023A</t>
        </is>
      </c>
      <c r="F5" s="3" t="inlineStr">
        <is>
          <t>2024A</t>
        </is>
      </c>
      <c r="G5" s="6" t="inlineStr">
        <is>
          <t>2025E</t>
        </is>
      </c>
      <c r="H5" s="6" t="inlineStr">
        <is>
          <t>2026E</t>
        </is>
      </c>
      <c r="I5" s="6" t="inlineStr">
        <is>
          <t>2027E</t>
        </is>
      </c>
    </row>
    <row r="6">
      <c r="B6" s="12" t="inlineStr">
        <is>
          <t>I. CONSOLIDATED INCOME STATEMENT (USD M)</t>
        </is>
      </c>
      <c r="C6" s="13" t="n"/>
      <c r="D6" s="13" t="n"/>
      <c r="E6" s="13" t="n"/>
      <c r="F6" s="13" t="n"/>
      <c r="G6" s="13" t="n"/>
      <c r="H6" s="13" t="n"/>
      <c r="I6" s="13" t="n"/>
    </row>
    <row r="7">
      <c r="B7" s="14" t="inlineStr">
        <is>
          <t>Revenue / Gross Turnover</t>
        </is>
      </c>
      <c r="C7" s="15" t="n">
        <v>503.2</v>
      </c>
      <c r="D7" s="15" t="n">
        <v>606.8</v>
      </c>
      <c r="E7" s="15" t="n">
        <v>680.8</v>
      </c>
      <c r="F7" s="15" t="n">
        <v>740</v>
      </c>
      <c r="G7" s="16" t="n">
        <v>799.2</v>
      </c>
      <c r="H7" s="16" t="n">
        <v>851</v>
      </c>
      <c r="I7" s="16" t="n">
        <v>888</v>
      </c>
    </row>
    <row r="8">
      <c r="B8" s="5" t="inlineStr">
        <is>
          <t>Cost of Goods Sold (COGS)</t>
        </is>
      </c>
      <c r="C8" s="17" t="n">
        <v>186.3</v>
      </c>
      <c r="D8" s="17" t="n">
        <v>226.3</v>
      </c>
      <c r="E8" s="17" t="n">
        <v>247.6</v>
      </c>
      <c r="F8" s="17" t="n">
        <v>266.2</v>
      </c>
      <c r="G8" s="18" t="n">
        <v>284.8</v>
      </c>
      <c r="H8" s="18" t="n">
        <v>300.8</v>
      </c>
      <c r="I8" s="18" t="n">
        <v>314.1</v>
      </c>
    </row>
    <row r="9">
      <c r="B9" s="14" t="inlineStr">
        <is>
          <t>Gross Profit</t>
        </is>
      </c>
      <c r="C9" s="15">
        <f>C7-C8</f>
        <v/>
      </c>
      <c r="D9" s="15">
        <f>D7-D8</f>
        <v/>
      </c>
      <c r="E9" s="15">
        <f>E7-E8</f>
        <v/>
      </c>
      <c r="F9" s="15">
        <f>F7-F8</f>
        <v/>
      </c>
      <c r="G9" s="16">
        <f>G7-G8</f>
        <v/>
      </c>
      <c r="H9" s="16">
        <f>H7-H8</f>
        <v/>
      </c>
      <c r="I9" s="16">
        <f>I7-I8</f>
        <v/>
      </c>
    </row>
    <row r="10">
      <c r="B10" s="5" t="inlineStr">
        <is>
          <t>Gross Margin %</t>
        </is>
      </c>
      <c r="C10" s="19">
        <f>C9/C7</f>
        <v/>
      </c>
      <c r="D10" s="19">
        <f>D9/D7</f>
        <v/>
      </c>
      <c r="E10" s="19">
        <f>E9/E7</f>
        <v/>
      </c>
      <c r="F10" s="19">
        <f>F9/F7</f>
        <v/>
      </c>
      <c r="G10" s="20">
        <f>G9/G7</f>
        <v/>
      </c>
      <c r="H10" s="20">
        <f>H9/H7</f>
        <v/>
      </c>
      <c r="I10" s="20">
        <f>I9/I7</f>
        <v/>
      </c>
    </row>
    <row r="11">
      <c r="B11" s="5" t="inlineStr">
        <is>
          <t>Selling, General &amp; Administrative (SG&amp;A)</t>
        </is>
      </c>
      <c r="C11" s="17" t="n">
        <v>63.9</v>
      </c>
      <c r="D11" s="17" t="n">
        <v>72.8</v>
      </c>
      <c r="E11" s="17" t="n">
        <v>81.7</v>
      </c>
      <c r="F11" s="17" t="n">
        <v>88.8</v>
      </c>
      <c r="G11" s="18" t="n">
        <v>94.09999999999999</v>
      </c>
      <c r="H11" s="18" t="n">
        <v>99.5</v>
      </c>
      <c r="I11" s="18" t="n">
        <v>103</v>
      </c>
    </row>
    <row r="12">
      <c r="B12" s="14" t="inlineStr">
        <is>
          <t>EBITDA</t>
        </is>
      </c>
      <c r="C12" s="15" t="n">
        <v>250.2</v>
      </c>
      <c r="D12" s="15" t="n">
        <v>308</v>
      </c>
      <c r="E12" s="15" t="n">
        <v>346.5</v>
      </c>
      <c r="F12" s="15" t="n">
        <v>385</v>
      </c>
      <c r="G12" s="16" t="n">
        <v>423.5</v>
      </c>
      <c r="H12" s="16" t="n">
        <v>454.3</v>
      </c>
      <c r="I12" s="16" t="n">
        <v>477.4</v>
      </c>
    </row>
    <row r="13">
      <c r="B13" s="14" t="inlineStr">
        <is>
          <t>EBITDA Margin %</t>
        </is>
      </c>
      <c r="C13" s="21">
        <f>C12/C7</f>
        <v/>
      </c>
      <c r="D13" s="21">
        <f>D12/D7</f>
        <v/>
      </c>
      <c r="E13" s="21">
        <f>E12/E7</f>
        <v/>
      </c>
      <c r="F13" s="21">
        <f>F12/F7</f>
        <v/>
      </c>
      <c r="G13" s="22">
        <f>G12/G7</f>
        <v/>
      </c>
      <c r="H13" s="22">
        <f>H12/H7</f>
        <v/>
      </c>
      <c r="I13" s="22">
        <f>I12/I7</f>
        <v/>
      </c>
    </row>
    <row r="14">
      <c r="B14" s="5" t="inlineStr">
        <is>
          <t>Depreciation &amp; Amortization (D&amp;A)</t>
        </is>
      </c>
      <c r="C14" s="17" t="n">
        <v>107.8</v>
      </c>
      <c r="D14" s="17" t="n">
        <v>118.6</v>
      </c>
      <c r="E14" s="17" t="n">
        <v>128</v>
      </c>
      <c r="F14" s="17" t="n">
        <v>134.8</v>
      </c>
      <c r="G14" s="18" t="n">
        <v>141.5</v>
      </c>
      <c r="H14" s="18" t="n">
        <v>148.2</v>
      </c>
      <c r="I14" s="18" t="n">
        <v>155</v>
      </c>
    </row>
    <row r="15">
      <c r="B15" s="14" t="inlineStr">
        <is>
          <t>Operating Profit (EBIT)</t>
        </is>
      </c>
      <c r="C15" s="15">
        <f>C12-C14</f>
        <v/>
      </c>
      <c r="D15" s="15">
        <f>D12-D14</f>
        <v/>
      </c>
      <c r="E15" s="15">
        <f>E12-E14</f>
        <v/>
      </c>
      <c r="F15" s="15">
        <f>F12-F14</f>
        <v/>
      </c>
      <c r="G15" s="16">
        <f>G12-G14</f>
        <v/>
      </c>
      <c r="H15" s="16">
        <f>H12-H14</f>
        <v/>
      </c>
      <c r="I15" s="16">
        <f>I12-I14</f>
        <v/>
      </c>
    </row>
    <row r="16">
      <c r="B16" s="5" t="inlineStr">
        <is>
          <t>Net Interest / Financing Expense</t>
        </is>
      </c>
      <c r="C16" s="17" t="n">
        <v>51.3</v>
      </c>
      <c r="D16" s="17" t="n">
        <v>64.2</v>
      </c>
      <c r="E16" s="17" t="n">
        <v>77</v>
      </c>
      <c r="F16" s="17" t="n">
        <v>85.59999999999999</v>
      </c>
      <c r="G16" s="18" t="n">
        <v>82.09999999999999</v>
      </c>
      <c r="H16" s="18" t="n">
        <v>78.7</v>
      </c>
      <c r="I16" s="18" t="n">
        <v>75.3</v>
      </c>
    </row>
    <row r="17">
      <c r="B17" s="5" t="inlineStr">
        <is>
          <t>Profit Before Tax (EBT)</t>
        </is>
      </c>
      <c r="C17" s="17">
        <f>C15-C16</f>
        <v/>
      </c>
      <c r="D17" s="17">
        <f>D15-D16</f>
        <v/>
      </c>
      <c r="E17" s="17">
        <f>E15-E16</f>
        <v/>
      </c>
      <c r="F17" s="17">
        <f>F15-F16</f>
        <v/>
      </c>
      <c r="G17" s="18">
        <f>G15-G16</f>
        <v/>
      </c>
      <c r="H17" s="18">
        <f>H15-H16</f>
        <v/>
      </c>
      <c r="I17" s="18">
        <f>I15-I16</f>
        <v/>
      </c>
    </row>
    <row r="18">
      <c r="B18" s="14" t="inlineStr">
        <is>
          <t>Net Profit / Income</t>
        </is>
      </c>
      <c r="C18" s="15">
        <f>C17*0.82</f>
        <v/>
      </c>
      <c r="D18" s="15">
        <f>D17*0.82</f>
        <v/>
      </c>
      <c r="E18" s="15">
        <f>E17*0.82</f>
        <v/>
      </c>
      <c r="F18" s="15">
        <f>F17*0.82</f>
        <v/>
      </c>
      <c r="G18" s="16">
        <f>G17*0.82</f>
        <v/>
      </c>
      <c r="H18" s="16">
        <f>H17*0.82</f>
        <v/>
      </c>
      <c r="I18" s="16">
        <f>I17*0.82</f>
        <v/>
      </c>
    </row>
    <row r="19">
      <c r="B19" s="12" t="inlineStr">
        <is>
          <t>II. CASH FLOW &amp; CAPITAL EXPENDITURE (USD M)</t>
        </is>
      </c>
      <c r="C19" s="13" t="n"/>
      <c r="D19" s="13" t="n"/>
      <c r="E19" s="13" t="n"/>
      <c r="F19" s="13" t="n"/>
      <c r="G19" s="13" t="n"/>
      <c r="H19" s="13" t="n"/>
      <c r="I19" s="13" t="n"/>
    </row>
    <row r="20">
      <c r="B20" s="14" t="inlineStr">
        <is>
          <t>Cash Flow from Operations (CFO)</t>
        </is>
      </c>
      <c r="C20" s="15" t="n">
        <v>186.2</v>
      </c>
      <c r="D20" s="15" t="n">
        <v>234.2</v>
      </c>
      <c r="E20" s="15" t="n">
        <v>264.3</v>
      </c>
      <c r="F20" s="15" t="n">
        <v>300.3</v>
      </c>
      <c r="G20" s="16" t="n">
        <v>330.3</v>
      </c>
      <c r="H20" s="16" t="n">
        <v>354.4</v>
      </c>
      <c r="I20" s="16" t="n">
        <v>375.4</v>
      </c>
    </row>
    <row r="21">
      <c r="B21" s="5" t="inlineStr">
        <is>
          <t>Capital Expenditures (Capex)</t>
        </is>
      </c>
      <c r="C21" s="17" t="n">
        <v>41.4</v>
      </c>
      <c r="D21" s="17" t="n">
        <v>50.3</v>
      </c>
      <c r="E21" s="17" t="n">
        <v>56.2</v>
      </c>
      <c r="F21" s="17" t="n">
        <v>59.2</v>
      </c>
      <c r="G21" s="18" t="n">
        <v>62.2</v>
      </c>
      <c r="H21" s="18" t="n">
        <v>60.4</v>
      </c>
      <c r="I21" s="18" t="n">
        <v>58</v>
      </c>
    </row>
    <row r="22">
      <c r="B22" s="14" t="inlineStr">
        <is>
          <t>Free Cash Flow (FCF = CFO - Capex)</t>
        </is>
      </c>
      <c r="C22" s="15">
        <f>C20-C21</f>
        <v/>
      </c>
      <c r="D22" s="15">
        <f>D20-D21</f>
        <v/>
      </c>
      <c r="E22" s="15">
        <f>E20-E21</f>
        <v/>
      </c>
      <c r="F22" s="15">
        <f>F20-F21</f>
        <v/>
      </c>
      <c r="G22" s="16">
        <f>G20-G21</f>
        <v/>
      </c>
      <c r="H22" s="16">
        <f>H20-H21</f>
        <v/>
      </c>
      <c r="I22" s="16">
        <f>I20-I21</f>
        <v/>
      </c>
    </row>
    <row r="23">
      <c r="B23" s="12" t="inlineStr">
        <is>
          <t>III. BALANCE SHEET &amp; DEBT METRICS (USD M)</t>
        </is>
      </c>
      <c r="C23" s="13" t="n"/>
      <c r="D23" s="13" t="n"/>
      <c r="E23" s="13" t="n"/>
      <c r="F23" s="13" t="n"/>
      <c r="G23" s="13" t="n"/>
      <c r="H23" s="13" t="n"/>
      <c r="I23" s="13" t="n"/>
    </row>
    <row r="24">
      <c r="B24" s="5" t="inlineStr">
        <is>
          <t>Cash &amp; Liquid Equivalents</t>
        </is>
      </c>
      <c r="C24" s="17" t="n">
        <v>73.3</v>
      </c>
      <c r="D24" s="17" t="n">
        <v>93.2</v>
      </c>
      <c r="E24" s="17" t="n">
        <v>113.2</v>
      </c>
      <c r="F24" s="17" t="n">
        <v>133.2</v>
      </c>
      <c r="G24" s="18" t="n">
        <v>157.2</v>
      </c>
      <c r="H24" s="18" t="n">
        <v>179.8</v>
      </c>
      <c r="I24" s="18" t="n">
        <v>199.8</v>
      </c>
    </row>
    <row r="25">
      <c r="B25" s="14" t="inlineStr">
        <is>
          <t>Gross Debt (Loans + Eurobonds/Sukuk)</t>
        </is>
      </c>
      <c r="C25" s="15" t="n">
        <v>767.7</v>
      </c>
      <c r="D25" s="15" t="n">
        <v>830.9</v>
      </c>
      <c r="E25" s="15" t="n">
        <v>885.1</v>
      </c>
      <c r="F25" s="15" t="n">
        <v>903.2</v>
      </c>
      <c r="G25" s="16" t="n">
        <v>885.1</v>
      </c>
      <c r="H25" s="16" t="n">
        <v>858</v>
      </c>
      <c r="I25" s="16" t="n">
        <v>812.9</v>
      </c>
    </row>
    <row r="26">
      <c r="B26" s="14" t="inlineStr">
        <is>
          <t>Net Debt (Gross Debt - Cash)</t>
        </is>
      </c>
      <c r="C26" s="15">
        <f>C25-C24</f>
        <v/>
      </c>
      <c r="D26" s="15">
        <f>D25-D24</f>
        <v/>
      </c>
      <c r="E26" s="15">
        <f>E25-E24</f>
        <v/>
      </c>
      <c r="F26" s="15">
        <f>F25-F24</f>
        <v/>
      </c>
      <c r="G26" s="16">
        <f>G25-G24</f>
        <v/>
      </c>
      <c r="H26" s="16">
        <f>H25-H24</f>
        <v/>
      </c>
      <c r="I26" s="16">
        <f>I25-I24</f>
        <v/>
      </c>
    </row>
    <row r="27">
      <c r="B27" s="12" t="inlineStr">
        <is>
          <t>IV. KEY INSTITUTIONAL CREDIT RATIOS</t>
        </is>
      </c>
      <c r="C27" s="13" t="n"/>
      <c r="D27" s="13" t="n"/>
      <c r="E27" s="13" t="n"/>
      <c r="F27" s="13" t="n"/>
      <c r="G27" s="13" t="n"/>
      <c r="H27" s="13" t="n"/>
      <c r="I27" s="13" t="n"/>
    </row>
    <row r="28">
      <c r="B28" s="14" t="inlineStr">
        <is>
          <t>Net Debt / EBITDA (Net Leverage)</t>
        </is>
      </c>
      <c r="C28" s="23">
        <f>C26/C12</f>
        <v/>
      </c>
      <c r="D28" s="23">
        <f>D26/D12</f>
        <v/>
      </c>
      <c r="E28" s="23">
        <f>E26/E12</f>
        <v/>
      </c>
      <c r="F28" s="23">
        <f>F26/F12</f>
        <v/>
      </c>
      <c r="G28" s="24">
        <f>G26/G12</f>
        <v/>
      </c>
      <c r="H28" s="24">
        <f>H26/H12</f>
        <v/>
      </c>
      <c r="I28" s="24">
        <f>I26/I12</f>
        <v/>
      </c>
    </row>
    <row r="29">
      <c r="B29" s="5" t="inlineStr">
        <is>
          <t>Gross Debt / EBITDA (Gross Leverage)</t>
        </is>
      </c>
      <c r="C29" s="25">
        <f>C25/C12</f>
        <v/>
      </c>
      <c r="D29" s="25">
        <f>D25/D12</f>
        <v/>
      </c>
      <c r="E29" s="25">
        <f>E25/E12</f>
        <v/>
      </c>
      <c r="F29" s="25">
        <f>F25/F12</f>
        <v/>
      </c>
      <c r="G29" s="26">
        <f>G25/G12</f>
        <v/>
      </c>
      <c r="H29" s="26">
        <f>H25/H12</f>
        <v/>
      </c>
      <c r="I29" s="26">
        <f>I25/I12</f>
        <v/>
      </c>
    </row>
    <row r="30">
      <c r="B30" s="14" t="inlineStr">
        <is>
          <t>EBITDA / Interest Coverage</t>
        </is>
      </c>
      <c r="C30" s="23">
        <f>C12/C16</f>
        <v/>
      </c>
      <c r="D30" s="23">
        <f>D12/D16</f>
        <v/>
      </c>
      <c r="E30" s="23">
        <f>E12/E16</f>
        <v/>
      </c>
      <c r="F30" s="23">
        <f>F12/F16</f>
        <v/>
      </c>
      <c r="G30" s="24">
        <f>G12/G16</f>
        <v/>
      </c>
      <c r="H30" s="24">
        <f>H12/H16</f>
        <v/>
      </c>
      <c r="I30" s="24">
        <f>I12/I16</f>
        <v/>
      </c>
    </row>
    <row r="31">
      <c r="B31" s="5" t="inlineStr">
        <is>
          <t>CFO / Net Debt %</t>
        </is>
      </c>
      <c r="C31" s="19">
        <f>C20/C26</f>
        <v/>
      </c>
      <c r="D31" s="19">
        <f>D20/D26</f>
        <v/>
      </c>
      <c r="E31" s="19">
        <f>E20/E26</f>
        <v/>
      </c>
      <c r="F31" s="19">
        <f>F20/F26</f>
        <v/>
      </c>
      <c r="G31" s="20">
        <f>G20/G26</f>
        <v/>
      </c>
      <c r="H31" s="20">
        <f>H20/H26</f>
        <v/>
      </c>
      <c r="I31" s="20">
        <f>I20/I26</f>
        <v/>
      </c>
    </row>
    <row r="32">
      <c r="B32" s="5" t="inlineStr">
        <is>
          <t>Capex / Revenue %</t>
        </is>
      </c>
      <c r="C32" s="19">
        <f>C21/C7</f>
        <v/>
      </c>
      <c r="D32" s="19">
        <f>D21/D7</f>
        <v/>
      </c>
      <c r="E32" s="19">
        <f>E21/E7</f>
        <v/>
      </c>
      <c r="F32" s="19">
        <f>F21/F7</f>
        <v/>
      </c>
      <c r="G32" s="20">
        <f>G21/G7</f>
        <v/>
      </c>
      <c r="H32" s="20">
        <f>H21/H7</f>
        <v/>
      </c>
      <c r="I32" s="20">
        <f>I21/I7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2026-09-19T17:13:43Z</dcterms:created>
  <dcterms:modified xmlns:dcterms="http://purl.org/dc/terms/" xmlns:xsi="http://www.w3.org/2001/XMLSchema-instance" xsi:type="dcterms:W3CDTF">2026-09-19T17:13:43Z</dcterms:modified>
</cp:coreProperties>
</file>
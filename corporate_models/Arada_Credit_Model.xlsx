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Arada Developments</t>
        </is>
      </c>
    </row>
    <row r="3">
      <c r="B3" s="2" t="inlineStr">
        <is>
          <t>CEMBI CEEMEA Assessment | Country: UAE | Sector: Real Estate | Benchmark: ARADA 8.05% 2029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$100.50 (8.05% YTM)</t>
        </is>
      </c>
      <c r="D6" s="4" t="inlineStr">
        <is>
          <t>B+ / B1 (+400 bp)</t>
        </is>
      </c>
      <c r="E6" s="5" t="inlineStr">
        <is>
          <t>Selective Carry</t>
        </is>
      </c>
    </row>
    <row r="7">
      <c r="B7" s="4" t="inlineStr">
        <is>
          <t>Sector &amp; Product Mix</t>
        </is>
      </c>
      <c r="C7" s="5" t="inlineStr">
        <is>
          <t>Aljada Master Community Sharjah (54%), Masaar Forested Villas (28%), Dubai Armani Beach &amp; Jouri (18%)</t>
        </is>
      </c>
      <c r="D7" s="4" t="inlineStr">
        <is>
          <t>Recovery Floor</t>
        </is>
      </c>
      <c r="E7" s="5" t="inlineStr">
        <is>
          <t>$65.00 (Base $100.50)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$100.50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$82.75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$65.00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Arada Developments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625.6</v>
      </c>
      <c r="D7" s="15" t="n">
        <v>754.4</v>
      </c>
      <c r="E7" s="15" t="n">
        <v>846.4</v>
      </c>
      <c r="F7" s="15" t="n">
        <v>920</v>
      </c>
      <c r="G7" s="16" t="n">
        <v>993.6</v>
      </c>
      <c r="H7" s="16" t="n">
        <v>1058</v>
      </c>
      <c r="I7" s="16" t="n">
        <v>1104</v>
      </c>
    </row>
    <row r="8">
      <c r="B8" s="5" t="inlineStr">
        <is>
          <t>Cost of Goods Sold (COGS)</t>
        </is>
      </c>
      <c r="C8" s="17" t="n">
        <v>373.5</v>
      </c>
      <c r="D8" s="17" t="n">
        <v>453.6</v>
      </c>
      <c r="E8" s="17" t="n">
        <v>496.2</v>
      </c>
      <c r="F8" s="17" t="n">
        <v>533.6</v>
      </c>
      <c r="G8" s="18" t="n">
        <v>571</v>
      </c>
      <c r="H8" s="18" t="n">
        <v>603</v>
      </c>
      <c r="I8" s="18" t="n">
        <v>629.6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83.8</v>
      </c>
      <c r="D11" s="17" t="n">
        <v>95.40000000000001</v>
      </c>
      <c r="E11" s="17" t="n">
        <v>107.1</v>
      </c>
      <c r="F11" s="17" t="n">
        <v>116.4</v>
      </c>
      <c r="G11" s="18" t="n">
        <v>123.4</v>
      </c>
      <c r="H11" s="18" t="n">
        <v>130.4</v>
      </c>
      <c r="I11" s="18" t="n">
        <v>135</v>
      </c>
    </row>
    <row r="12">
      <c r="B12" s="14" t="inlineStr">
        <is>
          <t>EBITDA</t>
        </is>
      </c>
      <c r="C12" s="15" t="n">
        <v>175.5</v>
      </c>
      <c r="D12" s="15" t="n">
        <v>216</v>
      </c>
      <c r="E12" s="15" t="n">
        <v>243</v>
      </c>
      <c r="F12" s="15" t="n">
        <v>270</v>
      </c>
      <c r="G12" s="16" t="n">
        <v>297</v>
      </c>
      <c r="H12" s="16" t="n">
        <v>318.6</v>
      </c>
      <c r="I12" s="16" t="n">
        <v>334.8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75.59999999999999</v>
      </c>
      <c r="D14" s="17" t="n">
        <v>83.2</v>
      </c>
      <c r="E14" s="17" t="n">
        <v>89.8</v>
      </c>
      <c r="F14" s="17" t="n">
        <v>94.5</v>
      </c>
      <c r="G14" s="18" t="n">
        <v>99.2</v>
      </c>
      <c r="H14" s="18" t="n">
        <v>104</v>
      </c>
      <c r="I14" s="18" t="n">
        <v>108.7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36</v>
      </c>
      <c r="D16" s="17" t="n">
        <v>45</v>
      </c>
      <c r="E16" s="17" t="n">
        <v>54</v>
      </c>
      <c r="F16" s="17" t="n">
        <v>60</v>
      </c>
      <c r="G16" s="18" t="n">
        <v>57.6</v>
      </c>
      <c r="H16" s="18" t="n">
        <v>55.2</v>
      </c>
      <c r="I16" s="18" t="n">
        <v>52.8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130.6</v>
      </c>
      <c r="D20" s="15" t="n">
        <v>164.3</v>
      </c>
      <c r="E20" s="15" t="n">
        <v>185.3</v>
      </c>
      <c r="F20" s="15" t="n">
        <v>210.6</v>
      </c>
      <c r="G20" s="16" t="n">
        <v>231.7</v>
      </c>
      <c r="H20" s="16" t="n">
        <v>248.5</v>
      </c>
      <c r="I20" s="16" t="n">
        <v>263.2</v>
      </c>
    </row>
    <row r="21">
      <c r="B21" s="5" t="inlineStr">
        <is>
          <t>Capital Expenditures (Capex)</t>
        </is>
      </c>
      <c r="C21" s="17" t="n">
        <v>51.5</v>
      </c>
      <c r="D21" s="17" t="n">
        <v>62.6</v>
      </c>
      <c r="E21" s="17" t="n">
        <v>69.90000000000001</v>
      </c>
      <c r="F21" s="17" t="n">
        <v>73.59999999999999</v>
      </c>
      <c r="G21" s="18" t="n">
        <v>77.3</v>
      </c>
      <c r="H21" s="18" t="n">
        <v>75.09999999999999</v>
      </c>
      <c r="I21" s="18" t="n">
        <v>72.09999999999999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91.09999999999999</v>
      </c>
      <c r="D24" s="17" t="n">
        <v>115.9</v>
      </c>
      <c r="E24" s="17" t="n">
        <v>140.8</v>
      </c>
      <c r="F24" s="17" t="n">
        <v>165.6</v>
      </c>
      <c r="G24" s="18" t="n">
        <v>195.4</v>
      </c>
      <c r="H24" s="18" t="n">
        <v>223.6</v>
      </c>
      <c r="I24" s="18" t="n">
        <v>248.4</v>
      </c>
    </row>
    <row r="25">
      <c r="B25" s="14" t="inlineStr">
        <is>
          <t>Gross Debt (Loans + Eurobonds/Sukuk)</t>
        </is>
      </c>
      <c r="C25" s="15" t="n">
        <v>599.8</v>
      </c>
      <c r="D25" s="15" t="n">
        <v>649.2</v>
      </c>
      <c r="E25" s="15" t="n">
        <v>691.5</v>
      </c>
      <c r="F25" s="15" t="n">
        <v>705.6</v>
      </c>
      <c r="G25" s="16" t="n">
        <v>691.5</v>
      </c>
      <c r="H25" s="16" t="n">
        <v>670.3</v>
      </c>
      <c r="I25" s="16" t="n">
        <v>635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2026-09-19T17:13:40Z</dcterms:created>
  <dcterms:modified xmlns:dcterms="http://purl.org/dc/terms/" xmlns:xsi="http://www.w3.org/2001/XMLSchema-instance" xsi:type="dcterms:W3CDTF">2026-09-19T17:13:40Z</dcterms:modified>
</cp:coreProperties>
</file>
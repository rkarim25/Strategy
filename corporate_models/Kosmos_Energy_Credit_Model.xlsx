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Kosmos Energy</t>
        </is>
      </c>
    </row>
    <row r="3">
      <c r="B3" s="2" t="inlineStr">
        <is>
          <t>CEMBI CEEMEA Assessment | Country: Ghana | Sector: Energy | Benchmark: KOS 10.45%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$89.50 (10.45% YTM)</t>
        </is>
      </c>
      <c r="D6" s="4" t="inlineStr">
        <is>
          <t>B- / B3 (+610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Ghana Offshore Crude (Jubilee/TEN: 64%), Equatorial Guinea (20%), GTA FLNG Gas (16%)</t>
        </is>
      </c>
      <c r="D7" s="4" t="inlineStr">
        <is>
          <t>Recovery Floor</t>
        </is>
      </c>
      <c r="E7" s="5" t="inlineStr">
        <is>
          <t>$62.00 (Base $98.00)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$98.00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$80.00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$62.00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Kosmos Energy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1190</v>
      </c>
      <c r="D7" s="15" t="n">
        <v>1435</v>
      </c>
      <c r="E7" s="15" t="n">
        <v>1610</v>
      </c>
      <c r="F7" s="15" t="n">
        <v>1750</v>
      </c>
      <c r="G7" s="16" t="n">
        <v>1890</v>
      </c>
      <c r="H7" s="16" t="n">
        <v>2012.5</v>
      </c>
      <c r="I7" s="16" t="n">
        <v>2100</v>
      </c>
    </row>
    <row r="8">
      <c r="B8" s="5" t="inlineStr">
        <is>
          <t>Cost of Goods Sold (COGS)</t>
        </is>
      </c>
      <c r="C8" s="17" t="n">
        <v>343</v>
      </c>
      <c r="D8" s="17" t="n">
        <v>416.5</v>
      </c>
      <c r="E8" s="17" t="n">
        <v>455.7</v>
      </c>
      <c r="F8" s="17" t="n">
        <v>490</v>
      </c>
      <c r="G8" s="18" t="n">
        <v>524.3</v>
      </c>
      <c r="H8" s="18" t="n">
        <v>553.7</v>
      </c>
      <c r="I8" s="18" t="n">
        <v>578.2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151.2</v>
      </c>
      <c r="D11" s="17" t="n">
        <v>172.2</v>
      </c>
      <c r="E11" s="17" t="n">
        <v>193.2</v>
      </c>
      <c r="F11" s="17" t="n">
        <v>210</v>
      </c>
      <c r="G11" s="18" t="n">
        <v>222.6</v>
      </c>
      <c r="H11" s="18" t="n">
        <v>235.2</v>
      </c>
      <c r="I11" s="18" t="n">
        <v>243.6</v>
      </c>
    </row>
    <row r="12">
      <c r="B12" s="14" t="inlineStr">
        <is>
          <t>EBITDA</t>
        </is>
      </c>
      <c r="C12" s="15" t="n">
        <v>682.5</v>
      </c>
      <c r="D12" s="15" t="n">
        <v>840</v>
      </c>
      <c r="E12" s="15" t="n">
        <v>945</v>
      </c>
      <c r="F12" s="15" t="n">
        <v>1050</v>
      </c>
      <c r="G12" s="16" t="n">
        <v>1155</v>
      </c>
      <c r="H12" s="16" t="n">
        <v>1239</v>
      </c>
      <c r="I12" s="16" t="n">
        <v>1302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294</v>
      </c>
      <c r="D14" s="17" t="n">
        <v>323.4</v>
      </c>
      <c r="E14" s="17" t="n">
        <v>349.1</v>
      </c>
      <c r="F14" s="17" t="n">
        <v>367.5</v>
      </c>
      <c r="G14" s="18" t="n">
        <v>385.9</v>
      </c>
      <c r="H14" s="18" t="n">
        <v>404.3</v>
      </c>
      <c r="I14" s="18" t="n">
        <v>422.6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140</v>
      </c>
      <c r="D16" s="17" t="n">
        <v>175</v>
      </c>
      <c r="E16" s="17" t="n">
        <v>210</v>
      </c>
      <c r="F16" s="17" t="n">
        <v>233.3</v>
      </c>
      <c r="G16" s="18" t="n">
        <v>224</v>
      </c>
      <c r="H16" s="18" t="n">
        <v>214.7</v>
      </c>
      <c r="I16" s="18" t="n">
        <v>205.3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507.8</v>
      </c>
      <c r="D20" s="15" t="n">
        <v>638.8</v>
      </c>
      <c r="E20" s="15" t="n">
        <v>720.7</v>
      </c>
      <c r="F20" s="15" t="n">
        <v>819</v>
      </c>
      <c r="G20" s="16" t="n">
        <v>900.9</v>
      </c>
      <c r="H20" s="16" t="n">
        <v>966.4</v>
      </c>
      <c r="I20" s="16" t="n">
        <v>1023.8</v>
      </c>
    </row>
    <row r="21">
      <c r="B21" s="5" t="inlineStr">
        <is>
          <t>Capital Expenditures (Capex)</t>
        </is>
      </c>
      <c r="C21" s="17" t="n">
        <v>98</v>
      </c>
      <c r="D21" s="17" t="n">
        <v>119</v>
      </c>
      <c r="E21" s="17" t="n">
        <v>133</v>
      </c>
      <c r="F21" s="17" t="n">
        <v>140</v>
      </c>
      <c r="G21" s="18" t="n">
        <v>147</v>
      </c>
      <c r="H21" s="18" t="n">
        <v>142.8</v>
      </c>
      <c r="I21" s="18" t="n">
        <v>137.2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173.2</v>
      </c>
      <c r="D24" s="17" t="n">
        <v>220.5</v>
      </c>
      <c r="E24" s="17" t="n">
        <v>267.8</v>
      </c>
      <c r="F24" s="17" t="n">
        <v>315</v>
      </c>
      <c r="G24" s="18" t="n">
        <v>371.7</v>
      </c>
      <c r="H24" s="18" t="n">
        <v>425.2</v>
      </c>
      <c r="I24" s="18" t="n">
        <v>472.5</v>
      </c>
    </row>
    <row r="25">
      <c r="B25" s="14" t="inlineStr">
        <is>
          <t>Gross Debt (Loans + Eurobonds/Sukuk)</t>
        </is>
      </c>
      <c r="C25" s="15" t="n">
        <v>2052.8</v>
      </c>
      <c r="D25" s="15" t="n">
        <v>2221.8</v>
      </c>
      <c r="E25" s="15" t="n">
        <v>2366.7</v>
      </c>
      <c r="F25" s="15" t="n">
        <v>2415</v>
      </c>
      <c r="G25" s="16" t="n">
        <v>2366.7</v>
      </c>
      <c r="H25" s="16" t="n">
        <v>2294.2</v>
      </c>
      <c r="I25" s="16" t="n">
        <v>2173.5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2026-09-19T17:13:42Z</dcterms:modified>
</cp:coreProperties>
</file>
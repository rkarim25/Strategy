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Damac Properties</t>
        </is>
      </c>
    </row>
    <row r="3">
      <c r="B3" s="2" t="inlineStr">
        <is>
          <t>CEMBI CEEMEA Assessment | Country: UAE | Sector: Real Estate | Benchmark: DAMAC 7.25% 2027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$101.00 (7.25% YTM)</t>
        </is>
      </c>
      <c r="D6" s="4" t="inlineStr">
        <is>
          <t>BB- / Ba3 (+320 bp)</t>
        </is>
      </c>
      <c r="E6" s="5" t="inlineStr">
        <is>
          <t>Overweight / Conviction</t>
        </is>
      </c>
    </row>
    <row r="7">
      <c r="B7" s="4" t="inlineStr">
        <is>
          <t>Sector &amp; Product Mix</t>
        </is>
      </c>
      <c r="C7" s="5" t="inlineStr">
        <is>
          <t>Master Lagoon Communities (58%), Super-Luxury High-Rise (28%), Edgnex Data Centers &amp; Hospitality (14%)</t>
        </is>
      </c>
      <c r="D7" s="4" t="inlineStr">
        <is>
          <t>Recovery Floor</t>
        </is>
      </c>
      <c r="E7" s="5" t="inlineStr">
        <is>
          <t>$75.00 (Base $101.00)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$101.00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$88.00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$75.00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Damac Properties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1428</v>
      </c>
      <c r="D7" s="15" t="n">
        <v>1722</v>
      </c>
      <c r="E7" s="15" t="n">
        <v>1932</v>
      </c>
      <c r="F7" s="15" t="n">
        <v>2100</v>
      </c>
      <c r="G7" s="16" t="n">
        <v>2268</v>
      </c>
      <c r="H7" s="16" t="n">
        <v>2415</v>
      </c>
      <c r="I7" s="16" t="n">
        <v>2520</v>
      </c>
    </row>
    <row r="8">
      <c r="B8" s="5" t="inlineStr">
        <is>
          <t>Cost of Goods Sold (COGS)</t>
        </is>
      </c>
      <c r="C8" s="17" t="n">
        <v>852.6</v>
      </c>
      <c r="D8" s="17" t="n">
        <v>1035.3</v>
      </c>
      <c r="E8" s="17" t="n">
        <v>1132.7</v>
      </c>
      <c r="F8" s="17" t="n">
        <v>1218</v>
      </c>
      <c r="G8" s="18" t="n">
        <v>1303.3</v>
      </c>
      <c r="H8" s="18" t="n">
        <v>1376.3</v>
      </c>
      <c r="I8" s="18" t="n">
        <v>1437.2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145.4</v>
      </c>
      <c r="D11" s="17" t="n">
        <v>165.6</v>
      </c>
      <c r="E11" s="17" t="n">
        <v>185.8</v>
      </c>
      <c r="F11" s="17" t="n">
        <v>202</v>
      </c>
      <c r="G11" s="18" t="n">
        <v>214.1</v>
      </c>
      <c r="H11" s="18" t="n">
        <v>226.2</v>
      </c>
      <c r="I11" s="18" t="n">
        <v>234.3</v>
      </c>
    </row>
    <row r="12">
      <c r="B12" s="14" t="inlineStr">
        <is>
          <t>EBITDA</t>
        </is>
      </c>
      <c r="C12" s="15" t="n">
        <v>442</v>
      </c>
      <c r="D12" s="15" t="n">
        <v>544</v>
      </c>
      <c r="E12" s="15" t="n">
        <v>612</v>
      </c>
      <c r="F12" s="15" t="n">
        <v>680</v>
      </c>
      <c r="G12" s="16" t="n">
        <v>748</v>
      </c>
      <c r="H12" s="16" t="n">
        <v>802.4</v>
      </c>
      <c r="I12" s="16" t="n">
        <v>843.2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190.4</v>
      </c>
      <c r="D14" s="17" t="n">
        <v>209.4</v>
      </c>
      <c r="E14" s="17" t="n">
        <v>226.1</v>
      </c>
      <c r="F14" s="17" t="n">
        <v>238</v>
      </c>
      <c r="G14" s="18" t="n">
        <v>249.9</v>
      </c>
      <c r="H14" s="18" t="n">
        <v>261.8</v>
      </c>
      <c r="I14" s="18" t="n">
        <v>273.7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90.7</v>
      </c>
      <c r="D16" s="17" t="n">
        <v>113.3</v>
      </c>
      <c r="E16" s="17" t="n">
        <v>136</v>
      </c>
      <c r="F16" s="17" t="n">
        <v>151.1</v>
      </c>
      <c r="G16" s="18" t="n">
        <v>145.1</v>
      </c>
      <c r="H16" s="18" t="n">
        <v>139</v>
      </c>
      <c r="I16" s="18" t="n">
        <v>133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328.8</v>
      </c>
      <c r="D20" s="15" t="n">
        <v>413.7</v>
      </c>
      <c r="E20" s="15" t="n">
        <v>466.8</v>
      </c>
      <c r="F20" s="15" t="n">
        <v>530.4</v>
      </c>
      <c r="G20" s="16" t="n">
        <v>583.4</v>
      </c>
      <c r="H20" s="16" t="n">
        <v>625.9</v>
      </c>
      <c r="I20" s="16" t="n">
        <v>663</v>
      </c>
    </row>
    <row r="21">
      <c r="B21" s="5" t="inlineStr">
        <is>
          <t>Capital Expenditures (Capex)</t>
        </is>
      </c>
      <c r="C21" s="17" t="n">
        <v>117.6</v>
      </c>
      <c r="D21" s="17" t="n">
        <v>142.8</v>
      </c>
      <c r="E21" s="17" t="n">
        <v>159.6</v>
      </c>
      <c r="F21" s="17" t="n">
        <v>168</v>
      </c>
      <c r="G21" s="18" t="n">
        <v>176.4</v>
      </c>
      <c r="H21" s="18" t="n">
        <v>171.4</v>
      </c>
      <c r="I21" s="18" t="n">
        <v>164.6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207.9</v>
      </c>
      <c r="D24" s="17" t="n">
        <v>264.6</v>
      </c>
      <c r="E24" s="17" t="n">
        <v>321.3</v>
      </c>
      <c r="F24" s="17" t="n">
        <v>378</v>
      </c>
      <c r="G24" s="18" t="n">
        <v>446</v>
      </c>
      <c r="H24" s="18" t="n">
        <v>510.3</v>
      </c>
      <c r="I24" s="18" t="n">
        <v>567</v>
      </c>
    </row>
    <row r="25">
      <c r="B25" s="14" t="inlineStr">
        <is>
          <t>Gross Debt (Loans + Eurobonds/Sukuk)</t>
        </is>
      </c>
      <c r="C25" s="15" t="n">
        <v>1477.3</v>
      </c>
      <c r="D25" s="15" t="n">
        <v>1599</v>
      </c>
      <c r="E25" s="15" t="n">
        <v>1703.2</v>
      </c>
      <c r="F25" s="15" t="n">
        <v>1738</v>
      </c>
      <c r="G25" s="16" t="n">
        <v>1703.2</v>
      </c>
      <c r="H25" s="16" t="n">
        <v>1651.1</v>
      </c>
      <c r="I25" s="16" t="n">
        <v>1564.2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2026-09-19T17:13:40Z</dcterms:created>
  <dcterms:modified xmlns:dcterms="http://purl.org/dc/terms/" xmlns:xsi="http://www.w3.org/2001/XMLSchema-instance" xsi:type="dcterms:W3CDTF">2026-09-19T17:13:40Z</dcterms:modified>
</cp:coreProperties>
</file>
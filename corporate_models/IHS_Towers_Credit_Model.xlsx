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IHS Towers</t>
        </is>
      </c>
    </row>
    <row r="3">
      <c r="B3" s="2" t="inlineStr">
        <is>
          <t>CEMBI CEEMEA Assessment | Country: Nigeria | Sector: Technology | Benchmark: IHS 10.25%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$91.50 (10.25% YTM)</t>
        </is>
      </c>
      <c r="D6" s="4" t="inlineStr">
        <is>
          <t>B+ / B2 (+590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Nigeria Tower Leasing (62%), South Africa (18%), LatAm (Brazil: 12%), Other Sub-Saharan Africa (8%)</t>
        </is>
      </c>
      <c r="D7" s="4" t="inlineStr">
        <is>
          <t>Recovery Floor</t>
        </is>
      </c>
      <c r="E7" s="5" t="inlineStr">
        <is>
          <t>$60.00 (Base $96.00)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$96.00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$78.00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IHS Towers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1462</v>
      </c>
      <c r="D7" s="15" t="n">
        <v>1763</v>
      </c>
      <c r="E7" s="15" t="n">
        <v>1978</v>
      </c>
      <c r="F7" s="15" t="n">
        <v>2150</v>
      </c>
      <c r="G7" s="16" t="n">
        <v>2322</v>
      </c>
      <c r="H7" s="16" t="n">
        <v>2472.5</v>
      </c>
      <c r="I7" s="16" t="n">
        <v>2580</v>
      </c>
    </row>
    <row r="8">
      <c r="B8" s="5" t="inlineStr">
        <is>
          <t>Cost of Goods Sold (COGS)</t>
        </is>
      </c>
      <c r="C8" s="17" t="n">
        <v>540.4</v>
      </c>
      <c r="D8" s="17" t="n">
        <v>656.2</v>
      </c>
      <c r="E8" s="17" t="n">
        <v>718</v>
      </c>
      <c r="F8" s="17" t="n">
        <v>772</v>
      </c>
      <c r="G8" s="18" t="n">
        <v>826</v>
      </c>
      <c r="H8" s="18" t="n">
        <v>872.4</v>
      </c>
      <c r="I8" s="18" t="n">
        <v>911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185.8</v>
      </c>
      <c r="D11" s="17" t="n">
        <v>211.6</v>
      </c>
      <c r="E11" s="17" t="n">
        <v>237.4</v>
      </c>
      <c r="F11" s="17" t="n">
        <v>258</v>
      </c>
      <c r="G11" s="18" t="n">
        <v>273.5</v>
      </c>
      <c r="H11" s="18" t="n">
        <v>289</v>
      </c>
      <c r="I11" s="18" t="n">
        <v>299.3</v>
      </c>
    </row>
    <row r="12">
      <c r="B12" s="14" t="inlineStr">
        <is>
          <t>EBITDA</t>
        </is>
      </c>
      <c r="C12" s="15" t="n">
        <v>728</v>
      </c>
      <c r="D12" s="15" t="n">
        <v>896</v>
      </c>
      <c r="E12" s="15" t="n">
        <v>1008</v>
      </c>
      <c r="F12" s="15" t="n">
        <v>1120</v>
      </c>
      <c r="G12" s="16" t="n">
        <v>1232</v>
      </c>
      <c r="H12" s="16" t="n">
        <v>1321.6</v>
      </c>
      <c r="I12" s="16" t="n">
        <v>1388.8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313.6</v>
      </c>
      <c r="D14" s="17" t="n">
        <v>345</v>
      </c>
      <c r="E14" s="17" t="n">
        <v>372.4</v>
      </c>
      <c r="F14" s="17" t="n">
        <v>392</v>
      </c>
      <c r="G14" s="18" t="n">
        <v>411.6</v>
      </c>
      <c r="H14" s="18" t="n">
        <v>431.2</v>
      </c>
      <c r="I14" s="18" t="n">
        <v>450.8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149.3</v>
      </c>
      <c r="D16" s="17" t="n">
        <v>186.7</v>
      </c>
      <c r="E16" s="17" t="n">
        <v>224</v>
      </c>
      <c r="F16" s="17" t="n">
        <v>248.9</v>
      </c>
      <c r="G16" s="18" t="n">
        <v>238.9</v>
      </c>
      <c r="H16" s="18" t="n">
        <v>229</v>
      </c>
      <c r="I16" s="18" t="n">
        <v>219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541.6</v>
      </c>
      <c r="D20" s="15" t="n">
        <v>681.4</v>
      </c>
      <c r="E20" s="15" t="n">
        <v>768.8</v>
      </c>
      <c r="F20" s="15" t="n">
        <v>873.6</v>
      </c>
      <c r="G20" s="16" t="n">
        <v>961</v>
      </c>
      <c r="H20" s="16" t="n">
        <v>1030.8</v>
      </c>
      <c r="I20" s="16" t="n">
        <v>1092</v>
      </c>
    </row>
    <row r="21">
      <c r="B21" s="5" t="inlineStr">
        <is>
          <t>Capital Expenditures (Capex)</t>
        </is>
      </c>
      <c r="C21" s="17" t="n">
        <v>120.4</v>
      </c>
      <c r="D21" s="17" t="n">
        <v>146.2</v>
      </c>
      <c r="E21" s="17" t="n">
        <v>163.4</v>
      </c>
      <c r="F21" s="17" t="n">
        <v>172</v>
      </c>
      <c r="G21" s="18" t="n">
        <v>180.6</v>
      </c>
      <c r="H21" s="18" t="n">
        <v>175.4</v>
      </c>
      <c r="I21" s="18" t="n">
        <v>168.6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212.9</v>
      </c>
      <c r="D24" s="17" t="n">
        <v>270.9</v>
      </c>
      <c r="E24" s="17" t="n">
        <v>328.9</v>
      </c>
      <c r="F24" s="17" t="n">
        <v>387</v>
      </c>
      <c r="G24" s="18" t="n">
        <v>456.7</v>
      </c>
      <c r="H24" s="18" t="n">
        <v>522.5</v>
      </c>
      <c r="I24" s="18" t="n">
        <v>580.5</v>
      </c>
    </row>
    <row r="25">
      <c r="B25" s="14" t="inlineStr">
        <is>
          <t>Gross Debt (Loans + Eurobonds/Sukuk)</t>
        </is>
      </c>
      <c r="C25" s="15" t="n">
        <v>2232.9</v>
      </c>
      <c r="D25" s="15" t="n">
        <v>2416.8</v>
      </c>
      <c r="E25" s="15" t="n">
        <v>2574.5</v>
      </c>
      <c r="F25" s="15" t="n">
        <v>2627</v>
      </c>
      <c r="G25" s="16" t="n">
        <v>2574.5</v>
      </c>
      <c r="H25" s="16" t="n">
        <v>2495.7</v>
      </c>
      <c r="I25" s="16" t="n">
        <v>2364.3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
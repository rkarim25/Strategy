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" sheetId="1" state="visible" r:id="rId1"/>
    <sheet xmlns:r="http://schemas.openxmlformats.org/officeDocument/2006/relationships" name="Debt Schedule &amp; Sensitiv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$#,##0.0"/>
    <numFmt numFmtId="166" formatCode="0.00&quot;x&quot;"/>
  </numFmts>
  <fonts count="6">
    <font>
      <name val="Calibri"/>
      <family val="2"/>
      <color theme="1"/>
      <sz val="11"/>
      <scheme val="minor"/>
    </font>
    <font>
      <name val="Calibri"/>
      <b val="1"/>
      <color rgb="001B365D"/>
      <sz val="14"/>
    </font>
    <font>
      <name val="Calibri"/>
      <i val="1"/>
      <color rgb="00555555"/>
      <sz val="9"/>
    </font>
    <font>
      <name val="Calibri"/>
      <b val="1"/>
      <color rgb="00FFFFFF"/>
      <sz val="11"/>
    </font>
    <font>
      <name val="Calibri"/>
      <b val="1"/>
      <color rgb="00008000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4F8"/>
        <bgColor rgb="00F2F4F8"/>
      </patternFill>
    </fill>
    <fill>
      <patternFill patternType="solid">
        <fgColor rgb="00E8F8F5"/>
        <bgColor rgb="00E8F8F5"/>
      </patternFill>
    </fill>
    <fill>
      <patternFill patternType="solid">
        <fgColor rgb="002C3E50"/>
        <bgColor rgb="002C3E50"/>
      </patternFill>
    </fill>
    <fill>
      <patternFill patternType="solid">
        <fgColor rgb="00FDEDEC"/>
        <bgColor rgb="00FDEDEC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double">
        <color rgb="001B365D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5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4" fillId="0" borderId="1" pivotButton="0" quotePrefix="0" xfId="0"/>
    <xf numFmtId="10" fontId="0" fillId="0" borderId="1" pivotButton="0" quotePrefix="0" xfId="0"/>
    <xf numFmtId="0" fontId="5" fillId="0" borderId="1" pivotButton="0" quotePrefix="0" xfId="0"/>
    <xf numFmtId="165" fontId="0" fillId="0" borderId="1" pivotButton="0" quotePrefix="0" xfId="0"/>
    <xf numFmtId="0" fontId="2" fillId="0" borderId="1" pivotButton="0" quotePrefix="0" xfId="0"/>
    <xf numFmtId="166" fontId="5" fillId="3" borderId="1" pivotButton="0" quotePrefix="0" xfId="0"/>
    <xf numFmtId="166" fontId="5" fillId="4" borderId="1" pivotButton="0" quotePrefix="0" xfId="0"/>
    <xf numFmtId="0" fontId="3" fillId="5" borderId="0" applyAlignment="1" pivotButton="0" quotePrefix="0" xfId="0">
      <alignment horizontal="center"/>
    </xf>
    <xf numFmtId="164" fontId="5" fillId="4" borderId="1" pivotButton="0" quotePrefix="0" xfId="0"/>
    <xf numFmtId="0" fontId="0" fillId="6" borderId="1" pivotButton="0" quotePrefix="0" xfId="0"/>
    <xf numFmtId="165" fontId="0" fillId="6" borderId="1" pivotButton="0" quotePrefix="0" xfId="0"/>
    <xf numFmtId="164" fontId="5" fillId="6" borderId="1" pivotButton="0" quotePrefix="0" xfId="0"/>
    <xf numFmtId="0" fontId="5" fillId="3" borderId="2" pivotButton="0" quotePrefix="0" xfId="0"/>
    <xf numFmtId="165" fontId="5" fillId="3" borderId="2" pivotButton="0" quotePrefix="0" xfId="0"/>
    <xf numFmtId="0" fontId="3" fillId="2" borderId="0" pivotButton="0" quotePrefix="0" xfId="0"/>
    <xf numFmtId="165" fontId="5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6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22" customWidth="1" min="3" max="3"/>
    <col width="24" customWidth="1" min="4" max="4"/>
    <col width="45" customWidth="1" min="5" max="5"/>
  </cols>
  <sheetData>
    <row r="2">
      <c r="B2" s="1" t="inlineStr">
        <is>
          <t>Sobha Realty (Sobha Holding)</t>
        </is>
      </c>
    </row>
    <row r="3">
      <c r="B3" s="2" t="inlineStr">
        <is>
          <t>CEMBI CEEMEA / GCC Credit Assessment | Country: United Arab Emirates | Sector: Real Estate / Master Communities &amp; Construction</t>
        </is>
      </c>
    </row>
    <row r="5">
      <c r="B5" s="3" t="inlineStr">
        <is>
          <t>MARKET TRADING BENCHMARK</t>
        </is>
      </c>
      <c r="C5" s="3" t="inlineStr">
        <is>
          <t>VALUE</t>
        </is>
      </c>
      <c r="D5" s="3" t="inlineStr">
        <is>
          <t>CREDIT RATINGS</t>
        </is>
      </c>
      <c r="E5" s="3" t="inlineStr">
        <is>
          <t>STANCE</t>
        </is>
      </c>
    </row>
    <row r="6">
      <c r="B6" s="4" t="inlineStr">
        <is>
          <t>Benchmark Bond / Sukuk</t>
        </is>
      </c>
      <c r="C6" s="5" t="inlineStr">
        <is>
          <t>SOBHA 8.75% 2028 USD Sukuk ($300M)</t>
        </is>
      </c>
      <c r="D6" s="4" t="inlineStr">
        <is>
          <t>Agency Rating</t>
        </is>
      </c>
      <c r="E6" s="5" t="inlineStr">
        <is>
          <t>BB- / Ba3 / B+ (S&amp;P/Moody's/Fitch)</t>
        </is>
      </c>
    </row>
    <row r="7">
      <c r="B7" s="4" t="inlineStr">
        <is>
          <t>Clean Price</t>
        </is>
      </c>
      <c r="C7" s="6" t="n">
        <v>102</v>
      </c>
      <c r="D7" s="4" t="inlineStr">
        <is>
          <t>Recommendation</t>
        </is>
      </c>
      <c r="E7" s="7" t="inlineStr">
        <is>
          <t>Overweight / High Conviction Carry</t>
        </is>
      </c>
    </row>
    <row r="8">
      <c r="B8" s="4" t="inlineStr">
        <is>
          <t>Yield to Maturity (YTM)</t>
        </is>
      </c>
      <c r="C8" s="8" t="n">
        <v>0.0795</v>
      </c>
      <c r="D8" s="4" t="inlineStr">
        <is>
          <t>Z-Spread</t>
        </is>
      </c>
      <c r="E8" s="5" t="inlineStr">
        <is>
          <t>+390 bp</t>
        </is>
      </c>
    </row>
    <row r="10">
      <c r="B10" s="3" t="inlineStr">
        <is>
          <t>FINANCIAL METRICS (USD M)</t>
        </is>
      </c>
      <c r="C10" s="3" t="inlineStr">
        <is>
          <t>HISTORICAL / BASE</t>
        </is>
      </c>
      <c r="D10" s="3" t="inlineStr">
        <is>
          <t>STRESS TEST (-25%)</t>
        </is>
      </c>
      <c r="E10" s="3" t="inlineStr">
        <is>
          <t>COMMENTARY</t>
        </is>
      </c>
    </row>
    <row r="11">
      <c r="B11" s="9" t="inlineStr">
        <is>
          <t>Revenue</t>
        </is>
      </c>
      <c r="C11" s="10" t="n">
        <v>1650</v>
      </c>
      <c r="D11" s="10">
        <f>C11*0.80</f>
        <v/>
      </c>
      <c r="E11" s="11" t="inlineStr">
        <is>
          <t>Recognized revenue under baseline vs macro stress</t>
        </is>
      </c>
    </row>
    <row r="12">
      <c r="B12" s="9" t="inlineStr">
        <is>
          <t>EBITDA</t>
        </is>
      </c>
      <c r="C12" s="10" t="n">
        <v>480</v>
      </c>
      <c r="D12" s="10">
        <f>C12*0.75</f>
        <v/>
      </c>
      <c r="E12" s="11" t="inlineStr">
        <is>
          <t>Margin: 29.1% of revenue</t>
        </is>
      </c>
    </row>
    <row r="13">
      <c r="B13" s="9" t="inlineStr">
        <is>
          <t>Capital Expenditures &amp; Land Capex</t>
        </is>
      </c>
      <c r="C13" s="10" t="n">
        <v>80</v>
      </c>
      <c r="D13" s="10">
        <f>C13*0.80</f>
        <v/>
      </c>
      <c r="E13" s="11" t="inlineStr">
        <is>
          <t>Development capex and infrastructure outlays</t>
        </is>
      </c>
    </row>
    <row r="14">
      <c r="B14" s="9" t="inlineStr">
        <is>
          <t>Free Cash Flow (FCF)</t>
        </is>
      </c>
      <c r="C14" s="10">
        <f>C12-C13-C16</f>
        <v/>
      </c>
      <c r="D14" s="10">
        <f>D12-D13-D16</f>
        <v/>
      </c>
      <c r="E14" s="11" t="inlineStr">
        <is>
          <t>Operating FCF after interest and capex</t>
        </is>
      </c>
    </row>
    <row r="15">
      <c r="B15" s="9" t="inlineStr">
        <is>
          <t>Cash &amp; Escrow Balances</t>
        </is>
      </c>
      <c r="C15" s="10" t="n">
        <v>450</v>
      </c>
      <c r="D15" s="10">
        <f>C15*0.90</f>
        <v/>
      </c>
      <c r="E15" s="11" t="inlineStr">
        <is>
          <t>Liquid cash plus regulated project escrow accounts</t>
        </is>
      </c>
    </row>
    <row r="16">
      <c r="B16" s="9" t="inlineStr">
        <is>
          <t>Annual Interest / Profit Payment</t>
        </is>
      </c>
      <c r="C16" s="10" t="n">
        <v>82</v>
      </c>
      <c r="D16" s="10">
        <f>C16</f>
        <v/>
      </c>
      <c r="E16" s="11" t="inlineStr">
        <is>
          <t>Sukuk profit distribution and bank debt interest</t>
        </is>
      </c>
    </row>
    <row r="17">
      <c r="B17" s="9" t="inlineStr">
        <is>
          <t>Gross Debt (Sukuk &amp; Bank Lines)</t>
        </is>
      </c>
      <c r="C17" s="10" t="n">
        <v>850</v>
      </c>
      <c r="D17" s="10">
        <f>C17</f>
        <v/>
      </c>
      <c r="E17" s="11" t="inlineStr">
        <is>
          <t>Total outstanding debt obligations</t>
        </is>
      </c>
    </row>
    <row r="18">
      <c r="B18" s="9" t="inlineStr">
        <is>
          <t>Net Debt</t>
        </is>
      </c>
      <c r="C18" s="10">
        <f>C17-C15</f>
        <v/>
      </c>
      <c r="D18" s="10">
        <f>D17-D15</f>
        <v/>
      </c>
      <c r="E18" s="11" t="inlineStr">
        <is>
          <t>Gross Debt minus liquid cash/escrow</t>
        </is>
      </c>
    </row>
    <row r="19">
      <c r="B19" s="9" t="inlineStr">
        <is>
          <t>Net Debt / EBITDA (Leverage)</t>
        </is>
      </c>
      <c r="C19" s="12">
        <f>C18/C12</f>
        <v/>
      </c>
      <c r="D19" s="12">
        <f>D18/D12</f>
        <v/>
      </c>
      <c r="E19" s="11" t="inlineStr">
        <is>
          <t>Key credit rating agency metric</t>
        </is>
      </c>
    </row>
    <row r="20">
      <c r="B20" s="9" t="inlineStr">
        <is>
          <t>EBITDA / Interest (Coverage)</t>
        </is>
      </c>
      <c r="C20" s="13">
        <f>C12/C16</f>
        <v/>
      </c>
      <c r="D20" s="13">
        <f>D12/D16</f>
        <v/>
      </c>
      <c r="E20" s="11" t="inlineStr">
        <is>
          <t>Profit service capacity buffer</t>
        </is>
      </c>
    </row>
    <row r="22">
      <c r="B22" s="14" t="inlineStr">
        <is>
          <t>RECOVERY SCENARIO</t>
        </is>
      </c>
      <c r="C22" s="14" t="inlineStr">
        <is>
          <t>ENTERPRISE VALUE</t>
        </is>
      </c>
      <c r="D22" s="14" t="inlineStr">
        <is>
          <t>SENIOR SUKUK RECOVERY</t>
        </is>
      </c>
      <c r="E22" s="14" t="inlineStr">
        <is>
          <t>IMPLIED PRICE / RECOVERY</t>
        </is>
      </c>
    </row>
    <row r="23">
      <c r="B23" s="5" t="inlineStr">
        <is>
          <t>Bull Case (Cycle Peak / High Absorption)</t>
        </is>
      </c>
      <c r="C23" s="10" t="n">
        <v>3220</v>
      </c>
      <c r="D23" s="5" t="inlineStr">
        <is>
          <t>100%</t>
        </is>
      </c>
      <c r="E23" s="15" t="n">
        <v>104</v>
      </c>
    </row>
    <row r="24">
      <c r="B24" s="5" t="inlineStr">
        <is>
          <t>Base Case (Normalized Project Delivery)</t>
        </is>
      </c>
      <c r="C24" s="10" t="n">
        <v>2800</v>
      </c>
      <c r="D24" s="5" t="inlineStr">
        <is>
          <t>100%</t>
        </is>
      </c>
      <c r="E24" s="15" t="n">
        <v>102</v>
      </c>
    </row>
    <row r="25">
      <c r="B25" s="5" t="inlineStr">
        <is>
          <t>Downside Stress Case (Market Slowdown)</t>
        </is>
      </c>
      <c r="C25" s="10" t="n">
        <v>1960</v>
      </c>
      <c r="D25" s="5" t="inlineStr">
        <is>
          <t>100%</t>
        </is>
      </c>
      <c r="E25" s="15" t="n">
        <v>84</v>
      </c>
    </row>
    <row r="26">
      <c r="B26" s="16" t="inlineStr">
        <is>
          <t>Liquidation Floor (Land Bank &amp; Collateral)</t>
        </is>
      </c>
      <c r="C26" s="17" t="n">
        <v>1260</v>
      </c>
      <c r="D26" s="16" t="inlineStr">
        <is>
          <t>Collateral Moat</t>
        </is>
      </c>
      <c r="E26" s="18" t="n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7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20" customWidth="1" min="3" max="3"/>
    <col width="20" customWidth="1" min="4" max="4"/>
    <col width="20" customWidth="1" min="5" max="5"/>
    <col width="30" customWidth="1" min="6" max="6"/>
  </cols>
  <sheetData>
    <row r="2">
      <c r="B2" s="1" t="inlineStr">
        <is>
          <t>Sobha Realty (Sobha Holding) — Debt Schedule &amp; Sensitivity Matrix</t>
        </is>
      </c>
    </row>
    <row r="4">
      <c r="B4" s="3" t="inlineStr">
        <is>
          <t>CAPITAL STRUCTURE TRANCHE</t>
        </is>
      </c>
      <c r="C4" s="3" t="inlineStr">
        <is>
          <t>AMOUNT (USD M)</t>
        </is>
      </c>
      <c r="D4" s="3" t="inlineStr">
        <is>
          <t>PROFIT / SPREAD</t>
        </is>
      </c>
      <c r="E4" s="3" t="inlineStr">
        <is>
          <t>MATURITY</t>
        </is>
      </c>
      <c r="F4" s="3" t="inlineStr">
        <is>
          <t>SENIORITY / SECURITY</t>
        </is>
      </c>
    </row>
    <row r="5">
      <c r="B5" s="5" t="inlineStr">
        <is>
          <t>Unrestricted Cash &amp; Liquid Balances</t>
        </is>
      </c>
      <c r="C5" s="10" t="n">
        <v>202.5</v>
      </c>
      <c r="D5" s="5" t="inlineStr">
        <is>
          <t>EIBOR / SAIBOR</t>
        </is>
      </c>
      <c r="E5" s="5" t="inlineStr">
        <is>
          <t>Immediate</t>
        </is>
      </c>
      <c r="F5" s="5" t="inlineStr">
        <is>
          <t>Free Liquidity</t>
        </is>
      </c>
    </row>
    <row r="6">
      <c r="B6" s="5" t="inlineStr">
        <is>
          <t>Project Escrow Accounts (RERA / Wafi)</t>
        </is>
      </c>
      <c r="C6" s="10" t="n">
        <v>247.5</v>
      </c>
      <c r="D6" s="5" t="inlineStr">
        <is>
          <t>Escrow yield</t>
        </is>
      </c>
      <c r="E6" s="5" t="inlineStr">
        <is>
          <t>Project-linked</t>
        </is>
      </c>
      <c r="F6" s="5" t="inlineStr">
        <is>
          <t>Ring-fenced Construction Collateral</t>
        </is>
      </c>
    </row>
    <row r="7">
      <c r="B7" s="5" t="inlineStr">
        <is>
          <t>Secured Bank Bilateral &amp; Syndicated Lines</t>
        </is>
      </c>
      <c r="C7" s="10" t="n">
        <v>297.5</v>
      </c>
      <c r="D7" s="5" t="inlineStr">
        <is>
          <t>EIBOR + 275 bp</t>
        </is>
      </c>
      <c r="E7" s="5" t="inlineStr">
        <is>
          <t>2026 - 2028</t>
        </is>
      </c>
      <c r="F7" s="5" t="inlineStr">
        <is>
          <t>First Mortgage on Land / Projects</t>
        </is>
      </c>
    </row>
    <row r="8">
      <c r="B8" s="5" t="inlineStr">
        <is>
          <t>Senior Unsecured USD Sukuk / Trust Certs</t>
        </is>
      </c>
      <c r="C8" s="10" t="n">
        <v>552.5</v>
      </c>
      <c r="D8" s="5" t="inlineStr">
        <is>
          <t>7.95% Fixed</t>
        </is>
      </c>
      <c r="E8" s="5" t="inlineStr">
        <is>
          <t>($300M)</t>
        </is>
      </c>
      <c r="F8" s="5" t="inlineStr">
        <is>
          <t>Senior Pari Passu (Ijara / Murabaha)</t>
        </is>
      </c>
    </row>
    <row r="9">
      <c r="B9" s="19" t="inlineStr">
        <is>
          <t>TOTAL GROSS DEBT</t>
        </is>
      </c>
      <c r="C9" s="20">
        <f>SUM(C7:C8)</f>
        <v/>
      </c>
      <c r="D9" s="19" t="inlineStr">
        <is>
          <t>Blended Cost</t>
        </is>
      </c>
      <c r="E9" s="19" t="inlineStr">
        <is>
          <t>-</t>
        </is>
      </c>
      <c r="F9" s="19" t="inlineStr">
        <is>
          <t>-</t>
        </is>
      </c>
    </row>
    <row r="12">
      <c r="B12" t="inlineStr">
        <is>
          <t>EBITDA SENSITIVITY vs EV MULTIPLE (IMPLIED BOND VALUE)</t>
        </is>
      </c>
    </row>
    <row r="13">
      <c r="B13" s="21" t="inlineStr">
        <is>
          <t>EBITDA Stress / Scenario</t>
        </is>
      </c>
      <c r="C13" s="3" t="inlineStr">
        <is>
          <t>3.0x EV Multiple</t>
        </is>
      </c>
      <c r="D13" s="3" t="inlineStr">
        <is>
          <t>4.0x EV Multiple</t>
        </is>
      </c>
      <c r="E13" s="3" t="inlineStr">
        <is>
          <t>5.0x EV Multiple</t>
        </is>
      </c>
      <c r="F13" s="3" t="inlineStr">
        <is>
          <t>6.0x EV Multiple</t>
        </is>
      </c>
    </row>
    <row r="14">
      <c r="B14" s="9" t="inlineStr">
        <is>
          <t>Base Case EBITDA ($480.0M)</t>
        </is>
      </c>
      <c r="C14" s="22" t="n">
        <v>105</v>
      </c>
      <c r="D14" s="22" t="n">
        <v>105</v>
      </c>
      <c r="E14" s="22" t="n">
        <v>105</v>
      </c>
      <c r="F14" s="22" t="n">
        <v>105</v>
      </c>
    </row>
    <row r="15">
      <c r="B15" s="9" t="inlineStr">
        <is>
          <t>-15% Stress (Presale Slowdown) ($408.0M)</t>
        </is>
      </c>
      <c r="C15" s="22" t="n">
        <v>105</v>
      </c>
      <c r="D15" s="22" t="n">
        <v>105</v>
      </c>
      <c r="E15" s="22" t="n">
        <v>105</v>
      </c>
      <c r="F15" s="22" t="n">
        <v>105</v>
      </c>
    </row>
    <row r="16">
      <c r="B16" s="9" t="inlineStr">
        <is>
          <t>-30% Stress (Severe Property Downturn) ($336.0M)</t>
        </is>
      </c>
      <c r="C16" s="22" t="n">
        <v>105</v>
      </c>
      <c r="D16" s="22" t="n">
        <v>105</v>
      </c>
      <c r="E16" s="22" t="n">
        <v>105</v>
      </c>
      <c r="F16" s="22" t="n">
        <v>105</v>
      </c>
    </row>
    <row r="17">
      <c r="B17" s="9" t="inlineStr">
        <is>
          <t>+15% Upside (Expansion Run-Rate) ($552.0M)</t>
        </is>
      </c>
      <c r="C17" s="22" t="n">
        <v>105</v>
      </c>
      <c r="D17" s="22" t="n">
        <v>105</v>
      </c>
      <c r="E17" s="22" t="n">
        <v>105</v>
      </c>
      <c r="F17" s="22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2026-09-19T06:28:40Z</dcterms:created>
  <dcterms:modified xmlns:dcterms="http://purl.org/dc/terms/" xmlns:xsi="http://www.w3.org/2001/XMLSchema-instance" xsi:type="dcterms:W3CDTF">2026-09-19T06:28:40Z</dcterms:modified>
</cp:coreProperties>
</file>
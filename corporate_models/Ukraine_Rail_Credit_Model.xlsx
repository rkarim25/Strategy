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Ukraine Rail (Ukrzaliznytsia)</t>
        </is>
      </c>
    </row>
    <row r="3">
      <c r="B3" s="2" t="inlineStr">
        <is>
          <t>CEMBI CEEMEA Assessment | Country: Ukraine | Sector: Infrastructure | Benchmark: RAILUA 19.25% 2026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$64.00 (19.25% YTM)</t>
        </is>
      </c>
      <c r="D6" s="4" t="inlineStr">
        <is>
          <t>CCC / Caa3 (+1485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Freight Transportation (Grain &amp; Metals: 76%), Passenger Humanitarian Services (18%), Ancillary (6%)</t>
        </is>
      </c>
      <c r="D7" s="4" t="inlineStr">
        <is>
          <t>Recovery Floor</t>
        </is>
      </c>
      <c r="E7" s="5" t="inlineStr">
        <is>
          <t>$38.00 (Base $78.00)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$78.00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$58.00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$38.00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Ukraine Rail (Ukrzaliznytsia)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1938</v>
      </c>
      <c r="D7" s="15" t="n">
        <v>2337</v>
      </c>
      <c r="E7" s="15" t="n">
        <v>2622</v>
      </c>
      <c r="F7" s="15" t="n">
        <v>2850</v>
      </c>
      <c r="G7" s="16" t="n">
        <v>3078</v>
      </c>
      <c r="H7" s="16" t="n">
        <v>3277.5</v>
      </c>
      <c r="I7" s="16" t="n">
        <v>3420</v>
      </c>
    </row>
    <row r="8">
      <c r="B8" s="5" t="inlineStr">
        <is>
          <t>Cost of Goods Sold (COGS)</t>
        </is>
      </c>
      <c r="C8" s="17" t="n">
        <v>1157.1</v>
      </c>
      <c r="D8" s="17" t="n">
        <v>1405</v>
      </c>
      <c r="E8" s="17" t="n">
        <v>1537.3</v>
      </c>
      <c r="F8" s="17" t="n">
        <v>1653</v>
      </c>
      <c r="G8" s="18" t="n">
        <v>1768.7</v>
      </c>
      <c r="H8" s="18" t="n">
        <v>1867.9</v>
      </c>
      <c r="I8" s="18" t="n">
        <v>1950.5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588.2</v>
      </c>
      <c r="D11" s="17" t="n">
        <v>669.9</v>
      </c>
      <c r="E11" s="17" t="n">
        <v>751.6</v>
      </c>
      <c r="F11" s="17" t="n">
        <v>817</v>
      </c>
      <c r="G11" s="18" t="n">
        <v>866</v>
      </c>
      <c r="H11" s="18" t="n">
        <v>915</v>
      </c>
      <c r="I11" s="18" t="n">
        <v>947.7</v>
      </c>
    </row>
    <row r="12">
      <c r="B12" s="14" t="inlineStr">
        <is>
          <t>EBITDA</t>
        </is>
      </c>
      <c r="C12" s="15" t="n">
        <v>247</v>
      </c>
      <c r="D12" s="15" t="n">
        <v>304</v>
      </c>
      <c r="E12" s="15" t="n">
        <v>342</v>
      </c>
      <c r="F12" s="15" t="n">
        <v>380</v>
      </c>
      <c r="G12" s="16" t="n">
        <v>418</v>
      </c>
      <c r="H12" s="16" t="n">
        <v>448.4</v>
      </c>
      <c r="I12" s="16" t="n">
        <v>471.2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106.4</v>
      </c>
      <c r="D14" s="17" t="n">
        <v>117</v>
      </c>
      <c r="E14" s="17" t="n">
        <v>126.3</v>
      </c>
      <c r="F14" s="17" t="n">
        <v>133</v>
      </c>
      <c r="G14" s="18" t="n">
        <v>139.7</v>
      </c>
      <c r="H14" s="18" t="n">
        <v>146.3</v>
      </c>
      <c r="I14" s="18" t="n">
        <v>152.9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50.7</v>
      </c>
      <c r="D16" s="17" t="n">
        <v>63.3</v>
      </c>
      <c r="E16" s="17" t="n">
        <v>76</v>
      </c>
      <c r="F16" s="17" t="n">
        <v>84.40000000000001</v>
      </c>
      <c r="G16" s="18" t="n">
        <v>81.09999999999999</v>
      </c>
      <c r="H16" s="18" t="n">
        <v>77.7</v>
      </c>
      <c r="I16" s="18" t="n">
        <v>74.3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183.8</v>
      </c>
      <c r="D20" s="15" t="n">
        <v>231.2</v>
      </c>
      <c r="E20" s="15" t="n">
        <v>260.8</v>
      </c>
      <c r="F20" s="15" t="n">
        <v>296.4</v>
      </c>
      <c r="G20" s="16" t="n">
        <v>326</v>
      </c>
      <c r="H20" s="16" t="n">
        <v>349.8</v>
      </c>
      <c r="I20" s="16" t="n">
        <v>370.5</v>
      </c>
    </row>
    <row r="21">
      <c r="B21" s="5" t="inlineStr">
        <is>
          <t>Capital Expenditures (Capex)</t>
        </is>
      </c>
      <c r="C21" s="17" t="n">
        <v>159.6</v>
      </c>
      <c r="D21" s="17" t="n">
        <v>193.8</v>
      </c>
      <c r="E21" s="17" t="n">
        <v>216.6</v>
      </c>
      <c r="F21" s="17" t="n">
        <v>228</v>
      </c>
      <c r="G21" s="18" t="n">
        <v>239.4</v>
      </c>
      <c r="H21" s="18" t="n">
        <v>232.6</v>
      </c>
      <c r="I21" s="18" t="n">
        <v>223.4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282.2</v>
      </c>
      <c r="D24" s="17" t="n">
        <v>359.1</v>
      </c>
      <c r="E24" s="17" t="n">
        <v>436.1</v>
      </c>
      <c r="F24" s="17" t="n">
        <v>513</v>
      </c>
      <c r="G24" s="18" t="n">
        <v>605.3</v>
      </c>
      <c r="H24" s="18" t="n">
        <v>692.6</v>
      </c>
      <c r="I24" s="18" t="n">
        <v>769.5</v>
      </c>
    </row>
    <row r="25">
      <c r="B25" s="14" t="inlineStr">
        <is>
          <t>Gross Debt (Loans + Eurobonds/Sukuk)</t>
        </is>
      </c>
      <c r="C25" s="15" t="n">
        <v>1082</v>
      </c>
      <c r="D25" s="15" t="n">
        <v>1171.2</v>
      </c>
      <c r="E25" s="15" t="n">
        <v>1247.5</v>
      </c>
      <c r="F25" s="15" t="n">
        <v>1273</v>
      </c>
      <c r="G25" s="16" t="n">
        <v>1247.5</v>
      </c>
      <c r="H25" s="16" t="n">
        <v>1209.3</v>
      </c>
      <c r="I25" s="16" t="n">
        <v>1145.7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2026-09-19T17:13:44Z</dcterms:created>
  <dcterms:modified xmlns:dcterms="http://purl.org/dc/terms/" xmlns:xsi="http://www.w3.org/2001/XMLSchema-instance" xsi:type="dcterms:W3CDTF">2026-09-19T17:13:44Z</dcterms:modified>
</cp:coreProperties>
</file>
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OCP Group</t>
        </is>
      </c>
    </row>
    <row r="3">
      <c r="B3" s="2" t="inlineStr">
        <is>
          <t>CEMBI CEEMEA Assessment | Country: Morocco | Sector: Materials | Benchmark: OCP 6.45% 2034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$99.50 (6.45% YTM)</t>
        </is>
      </c>
      <c r="D6" s="4" t="inlineStr">
        <is>
          <t>BBB- / Baa3 (+155 bp)</t>
        </is>
      </c>
      <c r="E6" s="5" t="inlineStr">
        <is>
          <t>Overweight / Conviction</t>
        </is>
      </c>
    </row>
    <row r="7">
      <c r="B7" s="4" t="inlineStr">
        <is>
          <t>Sector &amp; Product Mix</t>
        </is>
      </c>
      <c r="C7" s="5" t="inlineStr">
        <is>
          <t>Finished Fertilizers (DAP/MAP: 56%), Phosphoric Acid (26%), Raw Phosphate Rock (18%)</t>
        </is>
      </c>
      <c r="D7" s="4" t="inlineStr">
        <is>
          <t>Recovery Floor</t>
        </is>
      </c>
      <c r="E7" s="5" t="inlineStr">
        <is>
          <t>$75.00 (Base $103.00)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$103.00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$89.00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$75.00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OCP Group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6460</v>
      </c>
      <c r="D7" s="15" t="n">
        <v>7790</v>
      </c>
      <c r="E7" s="15" t="n">
        <v>8740</v>
      </c>
      <c r="F7" s="15" t="n">
        <v>9500</v>
      </c>
      <c r="G7" s="16" t="n">
        <v>10260</v>
      </c>
      <c r="H7" s="16" t="n">
        <v>10925</v>
      </c>
      <c r="I7" s="16" t="n">
        <v>11400</v>
      </c>
    </row>
    <row r="8">
      <c r="B8" s="5" t="inlineStr">
        <is>
          <t>Cost of Goods Sold (COGS)</t>
        </is>
      </c>
      <c r="C8" s="17" t="n">
        <v>3857</v>
      </c>
      <c r="D8" s="17" t="n">
        <v>4683.5</v>
      </c>
      <c r="E8" s="17" t="n">
        <v>5124.3</v>
      </c>
      <c r="F8" s="17" t="n">
        <v>5510</v>
      </c>
      <c r="G8" s="18" t="n">
        <v>5895.7</v>
      </c>
      <c r="H8" s="18" t="n">
        <v>6226.3</v>
      </c>
      <c r="I8" s="18" t="n">
        <v>6501.8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568.8</v>
      </c>
      <c r="D11" s="17" t="n">
        <v>647.8</v>
      </c>
      <c r="E11" s="17" t="n">
        <v>726.8</v>
      </c>
      <c r="F11" s="17" t="n">
        <v>790</v>
      </c>
      <c r="G11" s="18" t="n">
        <v>837.4</v>
      </c>
      <c r="H11" s="18" t="n">
        <v>884.8</v>
      </c>
      <c r="I11" s="18" t="n">
        <v>916.4</v>
      </c>
    </row>
    <row r="12">
      <c r="B12" s="14" t="inlineStr">
        <is>
          <t>EBITDA</t>
        </is>
      </c>
      <c r="C12" s="15" t="n">
        <v>2080</v>
      </c>
      <c r="D12" s="15" t="n">
        <v>2560</v>
      </c>
      <c r="E12" s="15" t="n">
        <v>2880</v>
      </c>
      <c r="F12" s="15" t="n">
        <v>3200</v>
      </c>
      <c r="G12" s="16" t="n">
        <v>3520</v>
      </c>
      <c r="H12" s="16" t="n">
        <v>3776</v>
      </c>
      <c r="I12" s="16" t="n">
        <v>3968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896</v>
      </c>
      <c r="D14" s="17" t="n">
        <v>985.6</v>
      </c>
      <c r="E14" s="17" t="n">
        <v>1064</v>
      </c>
      <c r="F14" s="17" t="n">
        <v>1120</v>
      </c>
      <c r="G14" s="18" t="n">
        <v>1176</v>
      </c>
      <c r="H14" s="18" t="n">
        <v>1232</v>
      </c>
      <c r="I14" s="18" t="n">
        <v>1288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426.7</v>
      </c>
      <c r="D16" s="17" t="n">
        <v>533.3</v>
      </c>
      <c r="E16" s="17" t="n">
        <v>640</v>
      </c>
      <c r="F16" s="17" t="n">
        <v>711.1</v>
      </c>
      <c r="G16" s="18" t="n">
        <v>682.7</v>
      </c>
      <c r="H16" s="18" t="n">
        <v>654.2</v>
      </c>
      <c r="I16" s="18" t="n">
        <v>625.8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1547.5</v>
      </c>
      <c r="D20" s="15" t="n">
        <v>1946.9</v>
      </c>
      <c r="E20" s="15" t="n">
        <v>2196.5</v>
      </c>
      <c r="F20" s="15" t="n">
        <v>2496</v>
      </c>
      <c r="G20" s="16" t="n">
        <v>2745.6</v>
      </c>
      <c r="H20" s="16" t="n">
        <v>2945.3</v>
      </c>
      <c r="I20" s="16" t="n">
        <v>3120</v>
      </c>
    </row>
    <row r="21">
      <c r="B21" s="5" t="inlineStr">
        <is>
          <t>Capital Expenditures (Capex)</t>
        </is>
      </c>
      <c r="C21" s="17" t="n">
        <v>532</v>
      </c>
      <c r="D21" s="17" t="n">
        <v>646</v>
      </c>
      <c r="E21" s="17" t="n">
        <v>722</v>
      </c>
      <c r="F21" s="17" t="n">
        <v>760</v>
      </c>
      <c r="G21" s="18" t="n">
        <v>798</v>
      </c>
      <c r="H21" s="18" t="n">
        <v>775.2</v>
      </c>
      <c r="I21" s="18" t="n">
        <v>744.8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940.5</v>
      </c>
      <c r="D24" s="17" t="n">
        <v>1197</v>
      </c>
      <c r="E24" s="17" t="n">
        <v>1453.5</v>
      </c>
      <c r="F24" s="17" t="n">
        <v>1710</v>
      </c>
      <c r="G24" s="18" t="n">
        <v>2017.8</v>
      </c>
      <c r="H24" s="18" t="n">
        <v>2308.5</v>
      </c>
      <c r="I24" s="18" t="n">
        <v>2565</v>
      </c>
    </row>
    <row r="25">
      <c r="B25" s="14" t="inlineStr">
        <is>
          <t>Gross Debt (Loans + Eurobonds/Sukuk)</t>
        </is>
      </c>
      <c r="C25" s="15" t="n">
        <v>6893.5</v>
      </c>
      <c r="D25" s="15" t="n">
        <v>7461.2</v>
      </c>
      <c r="E25" s="15" t="n">
        <v>7947.8</v>
      </c>
      <c r="F25" s="15" t="n">
        <v>8110</v>
      </c>
      <c r="G25" s="16" t="n">
        <v>7947.8</v>
      </c>
      <c r="H25" s="16" t="n">
        <v>7704.5</v>
      </c>
      <c r="I25" s="16" t="n">
        <v>7299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2026-09-19T17:13:41Z</dcterms:created>
  <dcterms:modified xmlns:dcterms="http://purl.org/dc/terms/" xmlns:xsi="http://www.w3.org/2001/XMLSchema-instance" xsi:type="dcterms:W3CDTF">2026-09-19T17:13:41Z</dcterms:modified>
</cp:coreProperties>
</file>
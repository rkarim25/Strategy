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  <sheet xmlns:r="http://schemas.openxmlformats.org/officeDocument/2006/relationships" name="2027 Sukuk Pay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  <xf numFmtId="164" fontId="4" fillId="5" borderId="1" pivotButton="0" quotePrefix="0" xfId="0"/>
    <xf numFmtId="164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Binghatti Holding</t>
        </is>
      </c>
    </row>
    <row r="3">
      <c r="B3" s="2" t="inlineStr">
        <is>
          <t>CEMBI CEEMEA Assessment | Country: UAE | Sector: Real Estate | Benchmark: BINGHA 8.85% 2027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$101.50 (8.85% YTM)</t>
        </is>
      </c>
      <c r="D6" s="4" t="inlineStr">
        <is>
          <t>B+ / B (+480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Branded Hyper-Luxury (Bugatti/Mercedes/Jacob&amp;Co: 52%), Fast-Track Mid-Market Luxury (48%)</t>
        </is>
      </c>
      <c r="D7" s="4" t="inlineStr">
        <is>
          <t>Recovery Floor</t>
        </is>
      </c>
      <c r="E7" s="5" t="inlineStr">
        <is>
          <t>$68.00 (Base $101.50)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$101.50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$84.75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Binghatti Holding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850</v>
      </c>
      <c r="D7" s="15" t="n">
        <v>1025</v>
      </c>
      <c r="E7" s="15" t="n">
        <v>1150</v>
      </c>
      <c r="F7" s="15" t="n">
        <v>1250</v>
      </c>
      <c r="G7" s="16" t="n">
        <v>1350</v>
      </c>
      <c r="H7" s="16" t="n">
        <v>1437.5</v>
      </c>
      <c r="I7" s="16" t="n">
        <v>1500</v>
      </c>
    </row>
    <row r="8">
      <c r="B8" s="5" t="inlineStr">
        <is>
          <t>Cost of Goods Sold (COGS)</t>
        </is>
      </c>
      <c r="C8" s="17" t="n">
        <v>507.5</v>
      </c>
      <c r="D8" s="17" t="n">
        <v>616.2</v>
      </c>
      <c r="E8" s="17" t="n">
        <v>674.2</v>
      </c>
      <c r="F8" s="17" t="n">
        <v>725</v>
      </c>
      <c r="G8" s="18" t="n">
        <v>775.8</v>
      </c>
      <c r="H8" s="18" t="n">
        <v>819.2</v>
      </c>
      <c r="I8" s="18" t="n">
        <v>855.5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104.4</v>
      </c>
      <c r="D11" s="17" t="n">
        <v>118.9</v>
      </c>
      <c r="E11" s="17" t="n">
        <v>133.4</v>
      </c>
      <c r="F11" s="17" t="n">
        <v>145</v>
      </c>
      <c r="G11" s="18" t="n">
        <v>153.7</v>
      </c>
      <c r="H11" s="18" t="n">
        <v>162.4</v>
      </c>
      <c r="I11" s="18" t="n">
        <v>168.2</v>
      </c>
    </row>
    <row r="12">
      <c r="B12" s="14" t="inlineStr">
        <is>
          <t>EBITDA</t>
        </is>
      </c>
      <c r="C12" s="15" t="n">
        <v>247</v>
      </c>
      <c r="D12" s="15" t="n">
        <v>304</v>
      </c>
      <c r="E12" s="15" t="n">
        <v>342</v>
      </c>
      <c r="F12" s="15" t="n">
        <v>380</v>
      </c>
      <c r="G12" s="16" t="n">
        <v>418</v>
      </c>
      <c r="H12" s="16" t="n">
        <v>448.4</v>
      </c>
      <c r="I12" s="16" t="n">
        <v>471.2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106.4</v>
      </c>
      <c r="D14" s="17" t="n">
        <v>117</v>
      </c>
      <c r="E14" s="17" t="n">
        <v>126.3</v>
      </c>
      <c r="F14" s="17" t="n">
        <v>133</v>
      </c>
      <c r="G14" s="18" t="n">
        <v>139.7</v>
      </c>
      <c r="H14" s="18" t="n">
        <v>146.3</v>
      </c>
      <c r="I14" s="18" t="n">
        <v>152.9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50.7</v>
      </c>
      <c r="D16" s="17" t="n">
        <v>63.3</v>
      </c>
      <c r="E16" s="17" t="n">
        <v>76</v>
      </c>
      <c r="F16" s="17" t="n">
        <v>84.40000000000001</v>
      </c>
      <c r="G16" s="18" t="n">
        <v>81.09999999999999</v>
      </c>
      <c r="H16" s="18" t="n">
        <v>77.7</v>
      </c>
      <c r="I16" s="18" t="n">
        <v>74.3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183.8</v>
      </c>
      <c r="D20" s="15" t="n">
        <v>231.2</v>
      </c>
      <c r="E20" s="15" t="n">
        <v>260.8</v>
      </c>
      <c r="F20" s="15" t="n">
        <v>296.4</v>
      </c>
      <c r="G20" s="16" t="n">
        <v>326</v>
      </c>
      <c r="H20" s="16" t="n">
        <v>349.8</v>
      </c>
      <c r="I20" s="16" t="n">
        <v>370.5</v>
      </c>
    </row>
    <row r="21">
      <c r="B21" s="5" t="inlineStr">
        <is>
          <t>Capital Expenditures (Capex)</t>
        </is>
      </c>
      <c r="C21" s="17" t="n">
        <v>70</v>
      </c>
      <c r="D21" s="17" t="n">
        <v>85</v>
      </c>
      <c r="E21" s="17" t="n">
        <v>95</v>
      </c>
      <c r="F21" s="17" t="n">
        <v>100</v>
      </c>
      <c r="G21" s="18" t="n">
        <v>105</v>
      </c>
      <c r="H21" s="18" t="n">
        <v>102</v>
      </c>
      <c r="I21" s="18" t="n">
        <v>98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123.8</v>
      </c>
      <c r="D24" s="17" t="n">
        <v>157.5</v>
      </c>
      <c r="E24" s="17" t="n">
        <v>191.2</v>
      </c>
      <c r="F24" s="17" t="n">
        <v>225</v>
      </c>
      <c r="G24" s="18" t="n">
        <v>265.5</v>
      </c>
      <c r="H24" s="18" t="n">
        <v>303.8</v>
      </c>
      <c r="I24" s="18" t="n">
        <v>337.5</v>
      </c>
    </row>
    <row r="25">
      <c r="B25" s="14" t="inlineStr">
        <is>
          <t>Gross Debt (Loans + Eurobonds/Sukuk)</t>
        </is>
      </c>
      <c r="C25" s="15" t="n">
        <v>837.2</v>
      </c>
      <c r="D25" s="15" t="n">
        <v>906.2</v>
      </c>
      <c r="E25" s="15" t="n">
        <v>965.3</v>
      </c>
      <c r="F25" s="15" t="n">
        <v>985</v>
      </c>
      <c r="G25" s="16" t="n">
        <v>965.3</v>
      </c>
      <c r="H25" s="16" t="n">
        <v>935.8</v>
      </c>
      <c r="I25" s="16" t="n">
        <v>886.5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Binghatti Holding — 2027 Sukuk Liquidity &amp; Payback Waterfall</t>
        </is>
      </c>
    </row>
    <row r="3">
      <c r="B3" s="2" t="inlineStr">
        <is>
          <t>Forensic assessment of BINGHA 9.625% Feb 2027 ($400M) bullet redemption capacity</t>
        </is>
      </c>
    </row>
    <row r="5">
      <c r="B5" s="11" t="inlineStr">
        <is>
          <t>Cash Flow Line Item</t>
        </is>
      </c>
      <c r="C5" s="3" t="inlineStr">
        <is>
          <t>2023 (Act)</t>
        </is>
      </c>
      <c r="D5" s="3" t="inlineStr">
        <is>
          <t>2024 (Proj)</t>
        </is>
      </c>
      <c r="E5" s="3" t="inlineStr">
        <is>
          <t>2025 (Proj)</t>
        </is>
      </c>
      <c r="F5" s="3" t="inlineStr">
        <is>
          <t>2026 (Proj)</t>
        </is>
      </c>
      <c r="G5" s="3" t="inlineStr">
        <is>
          <t>Feb 2027 (Pre-Redemption)</t>
        </is>
      </c>
    </row>
    <row r="6">
      <c r="B6" s="5" t="inlineStr">
        <is>
          <t>Starting Free Corporate Cash</t>
        </is>
      </c>
      <c r="C6" s="17" t="n">
        <v>65</v>
      </c>
      <c r="D6" s="17" t="n">
        <v>110</v>
      </c>
      <c r="E6" s="17" t="n">
        <v>185</v>
      </c>
      <c r="F6" s="17" t="n">
        <v>315</v>
      </c>
      <c r="G6" s="17" t="n">
        <v>510</v>
      </c>
    </row>
    <row r="7">
      <c r="B7" s="5" t="inlineStr">
        <is>
          <t>Operating Cash Flow (Pre-Escrow Unlock)</t>
        </is>
      </c>
      <c r="C7" s="17" t="n">
        <v>185</v>
      </c>
      <c r="D7" s="17" t="n">
        <v>247</v>
      </c>
      <c r="E7" s="17" t="n">
        <v>285</v>
      </c>
      <c r="F7" s="17" t="n">
        <v>310</v>
      </c>
      <c r="G7" s="17" t="n">
        <v>60</v>
      </c>
    </row>
    <row r="8">
      <c r="B8" s="5" t="inlineStr">
        <is>
          <t>RERA Escrow Trapped Profit Releases</t>
        </is>
      </c>
      <c r="C8" s="17" t="n">
        <v>95</v>
      </c>
      <c r="D8" s="17" t="n">
        <v>140</v>
      </c>
      <c r="E8" s="17" t="n">
        <v>180</v>
      </c>
      <c r="F8" s="17" t="n">
        <v>160</v>
      </c>
      <c r="G8" s="17" t="n">
        <v>40</v>
      </c>
    </row>
    <row r="9">
      <c r="B9" s="5" t="inlineStr">
        <is>
          <t>Maintenance Capex &amp; Land Payments</t>
        </is>
      </c>
      <c r="C9" s="17" t="n">
        <v>-85</v>
      </c>
      <c r="D9" s="17" t="n">
        <v>-110</v>
      </c>
      <c r="E9" s="17" t="n">
        <v>-120</v>
      </c>
      <c r="F9" s="17" t="n">
        <v>-100</v>
      </c>
      <c r="G9" s="17" t="n">
        <v>-20</v>
      </c>
    </row>
    <row r="10">
      <c r="B10" s="5" t="inlineStr">
        <is>
          <t>Debt Service (Bank Amort + Coupon)</t>
        </is>
      </c>
      <c r="C10" s="17" t="n">
        <v>-45</v>
      </c>
      <c r="D10" s="17" t="n">
        <v>-62</v>
      </c>
      <c r="E10" s="17" t="n">
        <v>-65</v>
      </c>
      <c r="F10" s="17" t="n">
        <v>-65</v>
      </c>
      <c r="G10" s="17" t="n">
        <v>-10</v>
      </c>
    </row>
    <row r="11">
      <c r="B11" s="14" t="inlineStr">
        <is>
          <t>Ending Free Corporate Cash Buffer</t>
        </is>
      </c>
      <c r="C11" s="27" t="n">
        <v>110</v>
      </c>
      <c r="D11" s="27" t="n">
        <v>185</v>
      </c>
      <c r="E11" s="27" t="n">
        <v>315</v>
      </c>
      <c r="F11" s="27" t="n">
        <v>510</v>
      </c>
      <c r="G11" s="27" t="n">
        <v>680</v>
      </c>
    </row>
    <row r="12">
      <c r="B12" s="14" t="inlineStr">
        <is>
          <t>2027 Sukuk Bullet Redemption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-400</v>
      </c>
    </row>
    <row r="13">
      <c r="B13" s="14" t="inlineStr">
        <is>
          <t>Net Post-Redemption Cash Cushion</t>
        </is>
      </c>
      <c r="C13" s="27" t="n">
        <v>110</v>
      </c>
      <c r="D13" s="27" t="n">
        <v>185</v>
      </c>
      <c r="E13" s="27" t="n">
        <v>315</v>
      </c>
      <c r="F13" s="27" t="n">
        <v>510</v>
      </c>
      <c r="G13" s="27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2026-09-19T17:13:39Z</dcterms:created>
  <dcterms:modified xmlns:dcterms="http://purl.org/dc/terms/" xmlns:xsi="http://www.w3.org/2001/XMLSchema-instance" xsi:type="dcterms:W3CDTF">2026-09-19T17:13:39Z</dcterms:modified>
</cp:coreProperties>
</file>
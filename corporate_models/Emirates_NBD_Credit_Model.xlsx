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.0"/>
    <numFmt numFmtId="166" formatCode="0.00&quot;x&quot;"/>
  </numFmts>
  <fonts count="6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color rgb="00008000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  <fill>
      <patternFill patternType="solid">
        <fgColor rgb="00E8F8F5"/>
        <bgColor rgb="00E8F8F5"/>
      </patternFill>
    </fill>
    <fill>
      <patternFill patternType="solid">
        <fgColor rgb="002C3E50"/>
        <bgColor rgb="002C3E5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5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0" fontId="0" fillId="0" borderId="1" pivotButton="0" quotePrefix="0" xfId="0"/>
    <xf numFmtId="0" fontId="5" fillId="0" borderId="1" pivotButton="0" quotePrefix="0" xfId="0"/>
    <xf numFmtId="165" fontId="0" fillId="0" borderId="1" pivotButton="0" quotePrefix="0" xfId="0"/>
    <xf numFmtId="0" fontId="2" fillId="0" borderId="1" pivotButton="0" quotePrefix="0" xfId="0"/>
    <xf numFmtId="166" fontId="5" fillId="3" borderId="1" pivotButton="0" quotePrefix="0" xfId="0"/>
    <xf numFmtId="166" fontId="5" fillId="4" borderId="1" pivotButton="0" quotePrefix="0" xfId="0"/>
    <xf numFmtId="0" fontId="3" fillId="5" borderId="0" applyAlignment="1" pivotButton="0" quotePrefix="0" xfId="0">
      <alignment horizontal="center"/>
    </xf>
    <xf numFmtId="164" fontId="5" fillId="4" borderId="1" pivotButton="0" quotePrefix="0" xfId="0"/>
    <xf numFmtId="0" fontId="0" fillId="6" borderId="1" pivotButton="0" quotePrefix="0" xfId="0"/>
    <xf numFmtId="165" fontId="0" fillId="6" borderId="1" pivotButton="0" quotePrefix="0" xfId="0"/>
    <xf numFmtId="164" fontId="5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6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22" customWidth="1" min="3" max="3"/>
    <col width="24" customWidth="1" min="4" max="4"/>
    <col width="45" customWidth="1" min="5" max="5"/>
  </cols>
  <sheetData>
    <row r="2">
      <c r="B2" s="1" t="inlineStr">
        <is>
          <t>Emirates NBD (ENBD)</t>
        </is>
      </c>
    </row>
    <row r="3">
      <c r="B3" s="2" t="inlineStr">
        <is>
          <t>CEMBI CEEMEA Benchmark Credit Assessment | Country: United Arab Emirates | Sector: Financials / Dubai Flagship Bank</t>
        </is>
      </c>
    </row>
    <row r="5">
      <c r="B5" s="3" t="inlineStr">
        <is>
          <t>MARKET TRADING BENCHMARK</t>
        </is>
      </c>
      <c r="C5" s="3" t="inlineStr">
        <is>
          <t>VALUE</t>
        </is>
      </c>
      <c r="D5" s="3" t="inlineStr">
        <is>
          <t>CREDIT RATINGS</t>
        </is>
      </c>
      <c r="E5" s="3" t="inlineStr">
        <is>
          <t>STANCE</t>
        </is>
      </c>
    </row>
    <row r="6">
      <c r="B6" s="4" t="inlineStr">
        <is>
          <t>Benchmark Bond / Sukuk</t>
        </is>
      </c>
      <c r="C6" s="5" t="inlineStr">
        <is>
          <t>EMIRAT 4.90% 2029 USD / 6.15% AT1 Perp</t>
        </is>
      </c>
      <c r="D6" s="4" t="inlineStr">
        <is>
          <t>Agency Rating</t>
        </is>
      </c>
      <c r="E6" s="5" t="inlineStr">
        <is>
          <t>A2 / A+ (Moody's/Fitch)</t>
        </is>
      </c>
    </row>
    <row r="7">
      <c r="B7" s="4" t="inlineStr">
        <is>
          <t>Clean Price</t>
        </is>
      </c>
      <c r="C7" s="6" t="n">
        <v>100.25</v>
      </c>
      <c r="D7" s="4" t="inlineStr">
        <is>
          <t>Recommendation</t>
        </is>
      </c>
      <c r="E7" s="7" t="inlineStr">
        <is>
          <t>Overweight / Core Carry</t>
        </is>
      </c>
    </row>
    <row r="8">
      <c r="B8" s="4" t="inlineStr">
        <is>
          <t>Yield to Maturity (YTM)</t>
        </is>
      </c>
      <c r="C8" s="8" t="n">
        <v>0.049</v>
      </c>
      <c r="D8" s="4" t="inlineStr">
        <is>
          <t>Z-Spread</t>
        </is>
      </c>
      <c r="E8" s="5" t="inlineStr">
        <is>
          <t>+70 bp</t>
        </is>
      </c>
    </row>
    <row r="10">
      <c r="B10" s="3" t="inlineStr">
        <is>
          <t>FINANCIAL METRICS (USD M)</t>
        </is>
      </c>
      <c r="C10" s="3" t="inlineStr">
        <is>
          <t>HISTORICAL / BASE</t>
        </is>
      </c>
      <c r="D10" s="3" t="inlineStr">
        <is>
          <t>STRESS TEST (-25%)</t>
        </is>
      </c>
      <c r="E10" s="3" t="inlineStr">
        <is>
          <t>COMMENTARY</t>
        </is>
      </c>
    </row>
    <row r="11">
      <c r="B11" s="9" t="inlineStr">
        <is>
          <t>Revenue / Gross Income</t>
        </is>
      </c>
      <c r="C11" s="10" t="n">
        <v>6800</v>
      </c>
      <c r="D11" s="10">
        <f>C11*0.80</f>
        <v/>
      </c>
      <c r="E11" s="11" t="inlineStr">
        <is>
          <t>Top-line earnings under baseline vs macro stress</t>
        </is>
      </c>
    </row>
    <row r="12">
      <c r="B12" s="9" t="inlineStr">
        <is>
          <t>EBITDA / Operating Profit</t>
        </is>
      </c>
      <c r="C12" s="10" t="n">
        <v>3900</v>
      </c>
      <c r="D12" s="10">
        <f>C12*0.75</f>
        <v/>
      </c>
      <c r="E12" s="11" t="inlineStr">
        <is>
          <t>Margin: 57.4% of revenue</t>
        </is>
      </c>
    </row>
    <row r="13">
      <c r="B13" s="9" t="inlineStr">
        <is>
          <t>Capex / Provisions</t>
        </is>
      </c>
      <c r="C13" s="10" t="n">
        <v>220</v>
      </c>
      <c r="D13" s="10">
        <f>C13*0.85</f>
        <v/>
      </c>
      <c r="E13" s="11" t="inlineStr">
        <is>
          <t>Reinvestment and credit risk allocation</t>
        </is>
      </c>
    </row>
    <row r="14">
      <c r="B14" s="9" t="inlineStr">
        <is>
          <t>Free Cash Flow / Net Surplus</t>
        </is>
      </c>
      <c r="C14" s="10">
        <f>C12-C13-C16</f>
        <v/>
      </c>
      <c r="D14" s="10">
        <f>D12-D13-D16</f>
        <v/>
      </c>
      <c r="E14" s="11" t="inlineStr">
        <is>
          <t>Retained surplus after debt servicing</t>
        </is>
      </c>
    </row>
    <row r="15">
      <c r="B15" s="9" t="inlineStr">
        <is>
          <t>Cash &amp; Liquid Assets</t>
        </is>
      </c>
      <c r="C15" s="10" t="n">
        <v>22000</v>
      </c>
      <c r="D15" s="10">
        <f>C15*0.90</f>
        <v/>
      </c>
      <c r="E15" s="11" t="inlineStr">
        <is>
          <t>High-quality liquid assets and treasury reserves</t>
        </is>
      </c>
    </row>
    <row r="16">
      <c r="B16" s="9" t="inlineStr">
        <is>
          <t>Interest / Profit Expense</t>
        </is>
      </c>
      <c r="C16" s="10" t="n">
        <v>790</v>
      </c>
      <c r="D16" s="10">
        <f>C16</f>
        <v/>
      </c>
      <c r="E16" s="11" t="inlineStr">
        <is>
          <t>Annual wholesale funding and debt service cost</t>
        </is>
      </c>
    </row>
    <row r="17">
      <c r="B17" s="9" t="inlineStr">
        <is>
          <t>Gross Debt / Wholesale Funding</t>
        </is>
      </c>
      <c r="C17" s="10" t="n">
        <v>16000</v>
      </c>
      <c r="D17" s="10">
        <f>C17</f>
        <v/>
      </c>
      <c r="E17" s="11" t="inlineStr">
        <is>
          <t>Total outstanding debt obligations</t>
        </is>
      </c>
    </row>
    <row r="18">
      <c r="B18" s="9" t="inlineStr">
        <is>
          <t>Net Debt / Net Funding Position</t>
        </is>
      </c>
      <c r="C18" s="10">
        <f>C17-C15</f>
        <v/>
      </c>
      <c r="D18" s="10">
        <f>D17-D15</f>
        <v/>
      </c>
      <c r="E18" s="11" t="inlineStr">
        <is>
          <t>Gross Debt minus liquid reserves</t>
        </is>
      </c>
    </row>
    <row r="19">
      <c r="B19" s="9" t="inlineStr">
        <is>
          <t>Net Debt / EBITDA (or CAR % for Banks)</t>
        </is>
      </c>
      <c r="C19" s="12">
        <f>C18/C12</f>
        <v/>
      </c>
      <c r="D19" s="12">
        <f>D18/D12</f>
        <v/>
      </c>
      <c r="E19" s="11" t="inlineStr">
        <is>
          <t>Key credit rating agency metric</t>
        </is>
      </c>
    </row>
    <row r="20">
      <c r="B20" s="9" t="inlineStr">
        <is>
          <t>Interest Coverage Ratio</t>
        </is>
      </c>
      <c r="C20" s="13">
        <f>C12/C16</f>
        <v/>
      </c>
      <c r="D20" s="13">
        <f>D12/D16</f>
        <v/>
      </c>
      <c r="E20" s="11" t="inlineStr">
        <is>
          <t>Debt servicing capacity cushion</t>
        </is>
      </c>
    </row>
    <row r="22">
      <c r="B22" s="14" t="inlineStr">
        <is>
          <t>RECOVERY SCENARIO</t>
        </is>
      </c>
      <c r="C22" s="14" t="inlineStr">
        <is>
          <t>ENTERPRISE VALUE</t>
        </is>
      </c>
      <c r="D22" s="14" t="inlineStr">
        <is>
          <t>SENIOR BOND RECOVERY</t>
        </is>
      </c>
      <c r="E22" s="14" t="inlineStr">
        <is>
          <t>IMPLIED PRICE / RECOVERY</t>
        </is>
      </c>
    </row>
    <row r="23">
      <c r="B23" s="5" t="inlineStr">
        <is>
          <t>Bull Case (Cycle Peak / High Absorption)</t>
        </is>
      </c>
      <c r="C23" s="10" t="n">
        <v>286000</v>
      </c>
      <c r="D23" s="5" t="inlineStr">
        <is>
          <t>100%</t>
        </is>
      </c>
      <c r="E23" s="15" t="n">
        <v>103</v>
      </c>
    </row>
    <row r="24">
      <c r="B24" s="5" t="inlineStr">
        <is>
          <t>Base Case (Through-the-Cycle Multiple)</t>
        </is>
      </c>
      <c r="C24" s="10" t="n">
        <v>260000</v>
      </c>
      <c r="D24" s="5" t="inlineStr">
        <is>
          <t>100%</t>
        </is>
      </c>
      <c r="E24" s="15" t="n">
        <v>101</v>
      </c>
    </row>
    <row r="25">
      <c r="B25" s="5" t="inlineStr">
        <is>
          <t>Downside Stress Case (Sub-Consensus Performance)</t>
        </is>
      </c>
      <c r="C25" s="10" t="n">
        <v>195000</v>
      </c>
      <c r="D25" s="5" t="inlineStr">
        <is>
          <t>100%</t>
        </is>
      </c>
      <c r="E25" s="15" t="n">
        <v>90</v>
      </c>
    </row>
    <row r="26">
      <c r="B26" s="16" t="inlineStr">
        <is>
          <t>Liquidation Floor (Hard Asset Collateral)</t>
        </is>
      </c>
      <c r="C26" s="17" t="n">
        <v>130000</v>
      </c>
      <c r="D26" s="16" t="inlineStr">
        <is>
          <t>Full Collateral Backing</t>
        </is>
      </c>
      <c r="E26" s="18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2026-09-19T06:37:41Z</dcterms:created>
  <dcterms:modified xmlns:dcterms="http://purl.org/dc/terms/" xmlns:xsi="http://www.w3.org/2001/XMLSchema-instance" xsi:type="dcterms:W3CDTF">2026-09-19T06:37:41Z</dcterms:modified>
</cp:coreProperties>
</file>
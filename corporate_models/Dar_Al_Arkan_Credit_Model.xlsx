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Dar Al Arkan</t>
        </is>
      </c>
    </row>
    <row r="3">
      <c r="B3" s="2" t="inlineStr">
        <is>
          <t>CEMBI CEEMEA Assessment | Country: Saudi Arabia | Sector: Real Estate | Benchmark: DARARK 8.15% 2029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$99.50 (8.15% YTM)</t>
        </is>
      </c>
      <c r="D6" s="4" t="inlineStr">
        <is>
          <t>BB- / Ba3 / B+ (+410 bp)</t>
        </is>
      </c>
      <c r="E6" s="5" t="inlineStr">
        <is>
          <t>Overweight / Conviction</t>
        </is>
      </c>
    </row>
    <row r="7">
      <c r="B7" s="4" t="inlineStr">
        <is>
          <t>Sector &amp; Product Mix</t>
        </is>
      </c>
      <c r="C7" s="5" t="inlineStr">
        <is>
          <t>Saudi Strategic Land Bank Plot Sales (58%), Residential Master Communities (24%), DarGlobal International (18%)</t>
        </is>
      </c>
      <c r="D7" s="4" t="inlineStr">
        <is>
          <t>Recovery Floor</t>
        </is>
      </c>
      <c r="E7" s="5" t="inlineStr">
        <is>
          <t>$66.00 (Base $100.00)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$100.00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$83.00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$66.00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Dar Al Arkan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748</v>
      </c>
      <c r="D7" s="15" t="n">
        <v>902</v>
      </c>
      <c r="E7" s="15" t="n">
        <v>1012</v>
      </c>
      <c r="F7" s="15" t="n">
        <v>1100</v>
      </c>
      <c r="G7" s="16" t="n">
        <v>1188</v>
      </c>
      <c r="H7" s="16" t="n">
        <v>1265</v>
      </c>
      <c r="I7" s="16" t="n">
        <v>1320</v>
      </c>
    </row>
    <row r="8">
      <c r="B8" s="5" t="inlineStr">
        <is>
          <t>Cost of Goods Sold (COGS)</t>
        </is>
      </c>
      <c r="C8" s="17" t="n">
        <v>446.6</v>
      </c>
      <c r="D8" s="17" t="n">
        <v>542.3</v>
      </c>
      <c r="E8" s="17" t="n">
        <v>593.3</v>
      </c>
      <c r="F8" s="17" t="n">
        <v>638</v>
      </c>
      <c r="G8" s="18" t="n">
        <v>682.7</v>
      </c>
      <c r="H8" s="18" t="n">
        <v>720.9</v>
      </c>
      <c r="I8" s="18" t="n">
        <v>752.8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73.40000000000001</v>
      </c>
      <c r="D11" s="17" t="n">
        <v>83.59999999999999</v>
      </c>
      <c r="E11" s="17" t="n">
        <v>93.8</v>
      </c>
      <c r="F11" s="17" t="n">
        <v>102</v>
      </c>
      <c r="G11" s="18" t="n">
        <v>108.1</v>
      </c>
      <c r="H11" s="18" t="n">
        <v>114.2</v>
      </c>
      <c r="I11" s="18" t="n">
        <v>118.3</v>
      </c>
    </row>
    <row r="12">
      <c r="B12" s="14" t="inlineStr">
        <is>
          <t>EBITDA</t>
        </is>
      </c>
      <c r="C12" s="15" t="n">
        <v>234</v>
      </c>
      <c r="D12" s="15" t="n">
        <v>288</v>
      </c>
      <c r="E12" s="15" t="n">
        <v>324</v>
      </c>
      <c r="F12" s="15" t="n">
        <v>360</v>
      </c>
      <c r="G12" s="16" t="n">
        <v>396</v>
      </c>
      <c r="H12" s="16" t="n">
        <v>424.8</v>
      </c>
      <c r="I12" s="16" t="n">
        <v>446.4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100.8</v>
      </c>
      <c r="D14" s="17" t="n">
        <v>110.9</v>
      </c>
      <c r="E14" s="17" t="n">
        <v>119.7</v>
      </c>
      <c r="F14" s="17" t="n">
        <v>126</v>
      </c>
      <c r="G14" s="18" t="n">
        <v>132.3</v>
      </c>
      <c r="H14" s="18" t="n">
        <v>138.6</v>
      </c>
      <c r="I14" s="18" t="n">
        <v>144.9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48</v>
      </c>
      <c r="D16" s="17" t="n">
        <v>60</v>
      </c>
      <c r="E16" s="17" t="n">
        <v>72</v>
      </c>
      <c r="F16" s="17" t="n">
        <v>80</v>
      </c>
      <c r="G16" s="18" t="n">
        <v>76.8</v>
      </c>
      <c r="H16" s="18" t="n">
        <v>73.59999999999999</v>
      </c>
      <c r="I16" s="18" t="n">
        <v>70.40000000000001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174.1</v>
      </c>
      <c r="D20" s="15" t="n">
        <v>219</v>
      </c>
      <c r="E20" s="15" t="n">
        <v>247.1</v>
      </c>
      <c r="F20" s="15" t="n">
        <v>280.8</v>
      </c>
      <c r="G20" s="16" t="n">
        <v>308.9</v>
      </c>
      <c r="H20" s="16" t="n">
        <v>331.3</v>
      </c>
      <c r="I20" s="16" t="n">
        <v>351</v>
      </c>
    </row>
    <row r="21">
      <c r="B21" s="5" t="inlineStr">
        <is>
          <t>Capital Expenditures (Capex)</t>
        </is>
      </c>
      <c r="C21" s="17" t="n">
        <v>61.6</v>
      </c>
      <c r="D21" s="17" t="n">
        <v>74.8</v>
      </c>
      <c r="E21" s="17" t="n">
        <v>83.59999999999999</v>
      </c>
      <c r="F21" s="17" t="n">
        <v>88</v>
      </c>
      <c r="G21" s="18" t="n">
        <v>92.40000000000001</v>
      </c>
      <c r="H21" s="18" t="n">
        <v>89.8</v>
      </c>
      <c r="I21" s="18" t="n">
        <v>86.2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108.9</v>
      </c>
      <c r="D24" s="17" t="n">
        <v>138.6</v>
      </c>
      <c r="E24" s="17" t="n">
        <v>168.3</v>
      </c>
      <c r="F24" s="17" t="n">
        <v>198</v>
      </c>
      <c r="G24" s="18" t="n">
        <v>233.6</v>
      </c>
      <c r="H24" s="18" t="n">
        <v>267.3</v>
      </c>
      <c r="I24" s="18" t="n">
        <v>297</v>
      </c>
    </row>
    <row r="25">
      <c r="B25" s="14" t="inlineStr">
        <is>
          <t>Gross Debt (Loans + Eurobonds/Sukuk)</t>
        </is>
      </c>
      <c r="C25" s="15" t="n">
        <v>780.3</v>
      </c>
      <c r="D25" s="15" t="n">
        <v>844.6</v>
      </c>
      <c r="E25" s="15" t="n">
        <v>899.6</v>
      </c>
      <c r="F25" s="15" t="n">
        <v>918</v>
      </c>
      <c r="G25" s="16" t="n">
        <v>899.6</v>
      </c>
      <c r="H25" s="16" t="n">
        <v>872.1</v>
      </c>
      <c r="I25" s="16" t="n">
        <v>826.2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2026-09-19T17:13:39Z</dcterms:created>
  <dcterms:modified xmlns:dcterms="http://purl.org/dc/terms/" xmlns:xsi="http://www.w3.org/2001/XMLSchema-instance" xsi:type="dcterms:W3CDTF">2026-09-19T17:13:39Z</dcterms:modified>
</cp:coreProperties>
</file>
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Dar Al Arkan Real Estate Development</t>
        </is>
      </c>
    </row>
    <row r="3">
      <c r="B3" s="2" t="inlineStr">
        <is>
          <t>CEMBI CEEMEA / GCC Credit Assessment | Country: Saudi Arabia | Sector: Real Estate / Master Development &amp; Land Bank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DARARK 8.00% 2029 USD Sukuk ($600M)</t>
        </is>
      </c>
      <c r="D6" s="4" t="inlineStr">
        <is>
          <t>Agency Rating</t>
        </is>
      </c>
      <c r="E6" s="5" t="inlineStr">
        <is>
          <t>BB- / Ba3 / B+ (Fitch/Moody's/S&amp;P)</t>
        </is>
      </c>
    </row>
    <row r="7">
      <c r="B7" s="4" t="inlineStr">
        <is>
          <t>Clean Price</t>
        </is>
      </c>
      <c r="C7" s="6" t="n">
        <v>99.5</v>
      </c>
      <c r="D7" s="4" t="inlineStr">
        <is>
          <t>Recommendation</t>
        </is>
      </c>
      <c r="E7" s="7" t="inlineStr">
        <is>
          <t>Overweight / High Conviction Carry</t>
        </is>
      </c>
    </row>
    <row r="8">
      <c r="B8" s="4" t="inlineStr">
        <is>
          <t>Yield to Maturity (YTM)</t>
        </is>
      </c>
      <c r="C8" s="8" t="n">
        <v>0.0815</v>
      </c>
      <c r="D8" s="4" t="inlineStr">
        <is>
          <t>Z-Spread</t>
        </is>
      </c>
      <c r="E8" s="5" t="inlineStr">
        <is>
          <t>+410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1100</v>
      </c>
      <c r="D11" s="10">
        <f>C11*0.80</f>
        <v/>
      </c>
      <c r="E11" s="11" t="inlineStr">
        <is>
          <t>Recognized revenue under baseline vs macro stress</t>
        </is>
      </c>
    </row>
    <row r="12">
      <c r="B12" s="9" t="inlineStr">
        <is>
          <t>EBITDA</t>
        </is>
      </c>
      <c r="C12" s="10" t="n">
        <v>360</v>
      </c>
      <c r="D12" s="10">
        <f>C12*0.75</f>
        <v/>
      </c>
      <c r="E12" s="11" t="inlineStr">
        <is>
          <t>Margin: 32.7% of revenue</t>
        </is>
      </c>
    </row>
    <row r="13">
      <c r="B13" s="9" t="inlineStr">
        <is>
          <t>Capital Expenditures &amp; Land Capex</t>
        </is>
      </c>
      <c r="C13" s="10" t="n">
        <v>120</v>
      </c>
      <c r="D13" s="10">
        <f>C13*0.80</f>
        <v/>
      </c>
      <c r="E13" s="11" t="inlineStr">
        <is>
          <t>Development capex and infrastructure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Escrow Balances</t>
        </is>
      </c>
      <c r="C15" s="10" t="n">
        <v>850</v>
      </c>
      <c r="D15" s="10">
        <f>C15*0.90</f>
        <v/>
      </c>
      <c r="E15" s="11" t="inlineStr">
        <is>
          <t>Liquid cash plus regulated project escrow accounts</t>
        </is>
      </c>
    </row>
    <row r="16">
      <c r="B16" s="9" t="inlineStr">
        <is>
          <t>Annual Interest / Profit Payment</t>
        </is>
      </c>
      <c r="C16" s="10" t="n">
        <v>125</v>
      </c>
      <c r="D16" s="10">
        <f>C16</f>
        <v/>
      </c>
      <c r="E16" s="11" t="inlineStr">
        <is>
          <t>Sukuk profit distribution and bank debt interest</t>
        </is>
      </c>
    </row>
    <row r="17">
      <c r="B17" s="9" t="inlineStr">
        <is>
          <t>Gross Debt (Sukuk &amp; Bank Lines)</t>
        </is>
      </c>
      <c r="C17" s="10" t="n">
        <v>2100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cash/escrow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Profit service capacity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SUKUK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6324.999999999999</v>
      </c>
      <c r="D23" s="5" t="inlineStr">
        <is>
          <t>100%</t>
        </is>
      </c>
      <c r="E23" s="15" t="n">
        <v>102</v>
      </c>
    </row>
    <row r="24">
      <c r="B24" s="5" t="inlineStr">
        <is>
          <t>Base Case (Normalized Project Delivery)</t>
        </is>
      </c>
      <c r="C24" s="10" t="n">
        <v>5500</v>
      </c>
      <c r="D24" s="5" t="inlineStr">
        <is>
          <t>100%</t>
        </is>
      </c>
      <c r="E24" s="15" t="n">
        <v>100</v>
      </c>
    </row>
    <row r="25">
      <c r="B25" s="5" t="inlineStr">
        <is>
          <t>Downside Stress Case (Market Slowdown)</t>
        </is>
      </c>
      <c r="C25" s="10" t="n">
        <v>3850</v>
      </c>
      <c r="D25" s="5" t="inlineStr">
        <is>
          <t>100%</t>
        </is>
      </c>
      <c r="E25" s="15" t="n">
        <v>80</v>
      </c>
    </row>
    <row r="26">
      <c r="B26" s="16" t="inlineStr">
        <is>
          <t>Liquidation Floor (Land Bank &amp; Collateral)</t>
        </is>
      </c>
      <c r="C26" s="17" t="n">
        <v>2475</v>
      </c>
      <c r="D26" s="16" t="inlineStr">
        <is>
          <t>Collateral Moat</t>
        </is>
      </c>
      <c r="E26" s="18" t="n">
        <v>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20" customWidth="1" min="4" max="4"/>
    <col width="20" customWidth="1" min="5" max="5"/>
    <col width="30" customWidth="1" min="6" max="6"/>
  </cols>
  <sheetData>
    <row r="2">
      <c r="B2" s="1" t="inlineStr">
        <is>
          <t>Dar Al Arkan Real Estate Development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PROFIT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Unrestricted Cash &amp; Liquid Balances</t>
        </is>
      </c>
      <c r="C5" s="10" t="n">
        <v>382.5</v>
      </c>
      <c r="D5" s="5" t="inlineStr">
        <is>
          <t>EIBOR / SAIBOR</t>
        </is>
      </c>
      <c r="E5" s="5" t="inlineStr">
        <is>
          <t>Immediate</t>
        </is>
      </c>
      <c r="F5" s="5" t="inlineStr">
        <is>
          <t>Free Liquidity</t>
        </is>
      </c>
    </row>
    <row r="6">
      <c r="B6" s="5" t="inlineStr">
        <is>
          <t>Project Escrow Accounts (RERA / Wafi)</t>
        </is>
      </c>
      <c r="C6" s="10" t="n">
        <v>467.5000000000001</v>
      </c>
      <c r="D6" s="5" t="inlineStr">
        <is>
          <t>Escrow yield</t>
        </is>
      </c>
      <c r="E6" s="5" t="inlineStr">
        <is>
          <t>Project-linked</t>
        </is>
      </c>
      <c r="F6" s="5" t="inlineStr">
        <is>
          <t>Ring-fenced Construction Collateral</t>
        </is>
      </c>
    </row>
    <row r="7">
      <c r="B7" s="5" t="inlineStr">
        <is>
          <t>Secured Bank Bilateral &amp; Syndicated Lines</t>
        </is>
      </c>
      <c r="C7" s="10" t="n">
        <v>735</v>
      </c>
      <c r="D7" s="5" t="inlineStr">
        <is>
          <t>EIBOR + 275 bp</t>
        </is>
      </c>
      <c r="E7" s="5" t="inlineStr">
        <is>
          <t>2026 - 2028</t>
        </is>
      </c>
      <c r="F7" s="5" t="inlineStr">
        <is>
          <t>First Mortgage on Land / Projects</t>
        </is>
      </c>
    </row>
    <row r="8">
      <c r="B8" s="5" t="inlineStr">
        <is>
          <t>Senior Unsecured USD Sukuk / Trust Certs</t>
        </is>
      </c>
      <c r="C8" s="10" t="n">
        <v>1365</v>
      </c>
      <c r="D8" s="5" t="inlineStr">
        <is>
          <t>8.15% Fixed</t>
        </is>
      </c>
      <c r="E8" s="5" t="inlineStr">
        <is>
          <t>($600M)</t>
        </is>
      </c>
      <c r="F8" s="5" t="inlineStr">
        <is>
          <t>Senior Pari Passu (Ijara / Murabaha)</t>
        </is>
      </c>
    </row>
    <row r="9">
      <c r="B9" s="19" t="inlineStr">
        <is>
          <t>TOTAL GROSS DEBT</t>
        </is>
      </c>
      <c r="C9" s="20">
        <f>SUM(C7:C8)</f>
        <v/>
      </c>
      <c r="D9" s="19" t="inlineStr">
        <is>
          <t>Blended Cost</t>
        </is>
      </c>
      <c r="E9" s="19" t="inlineStr">
        <is>
          <t>-</t>
        </is>
      </c>
      <c r="F9" s="19" t="inlineStr">
        <is>
          <t>-</t>
        </is>
      </c>
    </row>
    <row r="12">
      <c r="B12" t="inlineStr">
        <is>
          <t>EBITDA SENSITIVITY vs EV MULTIPLE (IMPLIED BOND VALUE)</t>
        </is>
      </c>
    </row>
    <row r="13">
      <c r="B13" s="21" t="inlineStr">
        <is>
          <t>EBITDA Stress / Scenario</t>
        </is>
      </c>
      <c r="C13" s="3" t="inlineStr">
        <is>
          <t>3.0x EV Multiple</t>
        </is>
      </c>
      <c r="D13" s="3" t="inlineStr">
        <is>
          <t>4.0x EV Multiple</t>
        </is>
      </c>
      <c r="E13" s="3" t="inlineStr">
        <is>
          <t>5.0x EV Multiple</t>
        </is>
      </c>
      <c r="F13" s="3" t="inlineStr">
        <is>
          <t>6.0x EV Multiple</t>
        </is>
      </c>
    </row>
    <row r="14">
      <c r="B14" s="9" t="inlineStr">
        <is>
          <t>Base Case EBITDA ($360.0M)</t>
        </is>
      </c>
      <c r="C14" s="22" t="n">
        <v>40</v>
      </c>
      <c r="D14" s="22" t="n">
        <v>51.6</v>
      </c>
      <c r="E14" s="23" t="n">
        <v>78</v>
      </c>
      <c r="F14" s="24" t="n">
        <v>104.4</v>
      </c>
    </row>
    <row r="15">
      <c r="B15" s="9" t="inlineStr">
        <is>
          <t>-15% Stress (Presale Slowdown) ($306.0M)</t>
        </is>
      </c>
      <c r="C15" s="22" t="n">
        <v>40</v>
      </c>
      <c r="D15" s="22" t="n">
        <v>40</v>
      </c>
      <c r="E15" s="22" t="n">
        <v>58.2</v>
      </c>
      <c r="F15" s="23" t="n">
        <v>80.7</v>
      </c>
    </row>
    <row r="16">
      <c r="B16" s="9" t="inlineStr">
        <is>
          <t>-30% Stress (Severe Property Downturn) ($252.0M)</t>
        </is>
      </c>
      <c r="C16" s="22" t="n">
        <v>40</v>
      </c>
      <c r="D16" s="22" t="n">
        <v>40</v>
      </c>
      <c r="E16" s="22" t="n">
        <v>40</v>
      </c>
      <c r="F16" s="22" t="n">
        <v>56.9</v>
      </c>
    </row>
    <row r="17">
      <c r="B17" s="9" t="inlineStr">
        <is>
          <t>+15% Upside (Expansion Run-Rate) ($414.0M)</t>
        </is>
      </c>
      <c r="C17" s="22" t="n">
        <v>40</v>
      </c>
      <c r="D17" s="22" t="n">
        <v>67.5</v>
      </c>
      <c r="E17" s="24" t="n">
        <v>97.8</v>
      </c>
      <c r="F17" s="24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2026-09-19T06:28:40Z</dcterms:created>
  <dcterms:modified xmlns:dcterms="http://purl.org/dc/terms/" xmlns:xsi="http://www.w3.org/2001/XMLSchema-instance" xsi:type="dcterms:W3CDTF">2026-09-19T06:28:40Z</dcterms:modified>
</cp:coreProperties>
</file>
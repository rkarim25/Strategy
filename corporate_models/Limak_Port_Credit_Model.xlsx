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LimakPort İskenderun</t>
        </is>
      </c>
    </row>
    <row r="3">
      <c r="B3" s="2" t="inlineStr">
        <is>
          <t>CEMBI CEEMEA Assessment | Country: Turkey | Sector: Infrastructure | Benchmark: LIMPRT 7.85% 2036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$98.50 (7.85% YTM)</t>
        </is>
      </c>
      <c r="D6" s="4" t="inlineStr">
        <is>
          <t>B / B3 (+345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Container Stevedoring (68%), Bulk &amp; General Cargo (22%), Ro-Ro &amp; Maritime Services (10%)</t>
        </is>
      </c>
      <c r="D7" s="4" t="inlineStr">
        <is>
          <t>Recovery Floor</t>
        </is>
      </c>
      <c r="E7" s="5" t="inlineStr">
        <is>
          <t>$75.00 (Base $101.00)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$101.00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$88.00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LimakPort İskenderun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81.59999999999999</v>
      </c>
      <c r="D7" s="15" t="n">
        <v>98.40000000000001</v>
      </c>
      <c r="E7" s="15" t="n">
        <v>110.4</v>
      </c>
      <c r="F7" s="15" t="n">
        <v>120</v>
      </c>
      <c r="G7" s="16" t="n">
        <v>129.6</v>
      </c>
      <c r="H7" s="16" t="n">
        <v>138</v>
      </c>
      <c r="I7" s="16" t="n">
        <v>144</v>
      </c>
    </row>
    <row r="8">
      <c r="B8" s="5" t="inlineStr">
        <is>
          <t>Cost of Goods Sold (COGS)</t>
        </is>
      </c>
      <c r="C8" s="17" t="n">
        <v>19.3</v>
      </c>
      <c r="D8" s="17" t="n">
        <v>23.5</v>
      </c>
      <c r="E8" s="17" t="n">
        <v>25.7</v>
      </c>
      <c r="F8" s="17" t="n">
        <v>27.6</v>
      </c>
      <c r="G8" s="18" t="n">
        <v>29.5</v>
      </c>
      <c r="H8" s="18" t="n">
        <v>31.2</v>
      </c>
      <c r="I8" s="18" t="n">
        <v>32.6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10.4</v>
      </c>
      <c r="D11" s="17" t="n">
        <v>11.8</v>
      </c>
      <c r="E11" s="17" t="n">
        <v>13.2</v>
      </c>
      <c r="F11" s="17" t="n">
        <v>14.4</v>
      </c>
      <c r="G11" s="18" t="n">
        <v>15.3</v>
      </c>
      <c r="H11" s="18" t="n">
        <v>16.1</v>
      </c>
      <c r="I11" s="18" t="n">
        <v>16.7</v>
      </c>
    </row>
    <row r="12">
      <c r="B12" s="14" t="inlineStr">
        <is>
          <t>EBITDA</t>
        </is>
      </c>
      <c r="C12" s="15" t="n">
        <v>50.7</v>
      </c>
      <c r="D12" s="15" t="n">
        <v>62.4</v>
      </c>
      <c r="E12" s="15" t="n">
        <v>70.2</v>
      </c>
      <c r="F12" s="15" t="n">
        <v>78</v>
      </c>
      <c r="G12" s="16" t="n">
        <v>85.8</v>
      </c>
      <c r="H12" s="16" t="n">
        <v>92</v>
      </c>
      <c r="I12" s="16" t="n">
        <v>96.7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21.8</v>
      </c>
      <c r="D14" s="17" t="n">
        <v>24</v>
      </c>
      <c r="E14" s="17" t="n">
        <v>25.9</v>
      </c>
      <c r="F14" s="17" t="n">
        <v>27.3</v>
      </c>
      <c r="G14" s="18" t="n">
        <v>28.7</v>
      </c>
      <c r="H14" s="18" t="n">
        <v>30</v>
      </c>
      <c r="I14" s="18" t="n">
        <v>31.4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10.4</v>
      </c>
      <c r="D16" s="17" t="n">
        <v>13</v>
      </c>
      <c r="E16" s="17" t="n">
        <v>15.6</v>
      </c>
      <c r="F16" s="17" t="n">
        <v>17.3</v>
      </c>
      <c r="G16" s="18" t="n">
        <v>16.6</v>
      </c>
      <c r="H16" s="18" t="n">
        <v>15.9</v>
      </c>
      <c r="I16" s="18" t="n">
        <v>15.3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37.7</v>
      </c>
      <c r="D20" s="15" t="n">
        <v>47.5</v>
      </c>
      <c r="E20" s="15" t="n">
        <v>53.5</v>
      </c>
      <c r="F20" s="15" t="n">
        <v>60.8</v>
      </c>
      <c r="G20" s="16" t="n">
        <v>66.90000000000001</v>
      </c>
      <c r="H20" s="16" t="n">
        <v>71.8</v>
      </c>
      <c r="I20" s="16" t="n">
        <v>76.09999999999999</v>
      </c>
    </row>
    <row r="21">
      <c r="B21" s="5" t="inlineStr">
        <is>
          <t>Capital Expenditures (Capex)</t>
        </is>
      </c>
      <c r="C21" s="17" t="n">
        <v>6.7</v>
      </c>
      <c r="D21" s="17" t="n">
        <v>8.199999999999999</v>
      </c>
      <c r="E21" s="17" t="n">
        <v>9.1</v>
      </c>
      <c r="F21" s="17" t="n">
        <v>9.6</v>
      </c>
      <c r="G21" s="18" t="n">
        <v>10.1</v>
      </c>
      <c r="H21" s="18" t="n">
        <v>9.800000000000001</v>
      </c>
      <c r="I21" s="18" t="n">
        <v>9.4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11.9</v>
      </c>
      <c r="D24" s="17" t="n">
        <v>15.1</v>
      </c>
      <c r="E24" s="17" t="n">
        <v>18.4</v>
      </c>
      <c r="F24" s="17" t="n">
        <v>21.6</v>
      </c>
      <c r="G24" s="18" t="n">
        <v>25.5</v>
      </c>
      <c r="H24" s="18" t="n">
        <v>29.2</v>
      </c>
      <c r="I24" s="18" t="n">
        <v>32.4</v>
      </c>
    </row>
    <row r="25">
      <c r="B25" s="14" t="inlineStr">
        <is>
          <t>Gross Debt (Loans + Eurobonds/Sukuk)</t>
        </is>
      </c>
      <c r="C25" s="15" t="n">
        <v>151</v>
      </c>
      <c r="D25" s="15" t="n">
        <v>163.4</v>
      </c>
      <c r="E25" s="15" t="n">
        <v>174</v>
      </c>
      <c r="F25" s="15" t="n">
        <v>177.6</v>
      </c>
      <c r="G25" s="16" t="n">
        <v>174</v>
      </c>
      <c r="H25" s="16" t="n">
        <v>168.7</v>
      </c>
      <c r="I25" s="16" t="n">
        <v>159.8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
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Limak Cement</t>
        </is>
      </c>
    </row>
    <row r="3">
      <c r="B3" s="2" t="inlineStr">
        <is>
          <t>CEMBI CEEMEA Assessment | Country: Turkey | Sector: Materials | Benchmark: LIMAKC 8.25%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$98.80 (8.25% YTM)</t>
        </is>
      </c>
      <c r="D6" s="4" t="inlineStr">
        <is>
          <t>B+ / B (+385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Domestic Gray Cement &amp; Clinker (56%), West Africa Export Grinding (26%), Ready-Mix Concrete (18%)</t>
        </is>
      </c>
      <c r="D7" s="4" t="inlineStr">
        <is>
          <t>Recovery Floor</t>
        </is>
      </c>
      <c r="E7" s="5" t="inlineStr">
        <is>
          <t>$68.00 (Base $98.00)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$83.00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Limak Cement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448.8</v>
      </c>
      <c r="D7" s="15" t="n">
        <v>541.2</v>
      </c>
      <c r="E7" s="15" t="n">
        <v>607.2</v>
      </c>
      <c r="F7" s="15" t="n">
        <v>660</v>
      </c>
      <c r="G7" s="16" t="n">
        <v>712.8</v>
      </c>
      <c r="H7" s="16" t="n">
        <v>759</v>
      </c>
      <c r="I7" s="16" t="n">
        <v>792</v>
      </c>
    </row>
    <row r="8">
      <c r="B8" s="5" t="inlineStr">
        <is>
          <t>Cost of Goods Sold (COGS)</t>
        </is>
      </c>
      <c r="C8" s="17" t="n">
        <v>268</v>
      </c>
      <c r="D8" s="17" t="n">
        <v>325.4</v>
      </c>
      <c r="E8" s="17" t="n">
        <v>356</v>
      </c>
      <c r="F8" s="17" t="n">
        <v>382.8</v>
      </c>
      <c r="G8" s="18" t="n">
        <v>409.6</v>
      </c>
      <c r="H8" s="18" t="n">
        <v>432.6</v>
      </c>
      <c r="I8" s="18" t="n">
        <v>451.7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66.40000000000001</v>
      </c>
      <c r="D11" s="17" t="n">
        <v>75.59999999999999</v>
      </c>
      <c r="E11" s="17" t="n">
        <v>84.8</v>
      </c>
      <c r="F11" s="17" t="n">
        <v>92.2</v>
      </c>
      <c r="G11" s="18" t="n">
        <v>97.7</v>
      </c>
      <c r="H11" s="18" t="n">
        <v>103.3</v>
      </c>
      <c r="I11" s="18" t="n">
        <v>107</v>
      </c>
    </row>
    <row r="12">
      <c r="B12" s="14" t="inlineStr">
        <is>
          <t>EBITDA</t>
        </is>
      </c>
      <c r="C12" s="15" t="n">
        <v>120.2</v>
      </c>
      <c r="D12" s="15" t="n">
        <v>148</v>
      </c>
      <c r="E12" s="15" t="n">
        <v>166.5</v>
      </c>
      <c r="F12" s="15" t="n">
        <v>185</v>
      </c>
      <c r="G12" s="16" t="n">
        <v>203.5</v>
      </c>
      <c r="H12" s="16" t="n">
        <v>218.3</v>
      </c>
      <c r="I12" s="16" t="n">
        <v>229.4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51.8</v>
      </c>
      <c r="D14" s="17" t="n">
        <v>57</v>
      </c>
      <c r="E14" s="17" t="n">
        <v>61.5</v>
      </c>
      <c r="F14" s="17" t="n">
        <v>64.8</v>
      </c>
      <c r="G14" s="18" t="n">
        <v>68</v>
      </c>
      <c r="H14" s="18" t="n">
        <v>71.2</v>
      </c>
      <c r="I14" s="18" t="n">
        <v>74.5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24.7</v>
      </c>
      <c r="D16" s="17" t="n">
        <v>30.8</v>
      </c>
      <c r="E16" s="17" t="n">
        <v>37</v>
      </c>
      <c r="F16" s="17" t="n">
        <v>41.1</v>
      </c>
      <c r="G16" s="18" t="n">
        <v>39.5</v>
      </c>
      <c r="H16" s="18" t="n">
        <v>37.8</v>
      </c>
      <c r="I16" s="18" t="n">
        <v>36.2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89.5</v>
      </c>
      <c r="D20" s="15" t="n">
        <v>112.6</v>
      </c>
      <c r="E20" s="15" t="n">
        <v>127</v>
      </c>
      <c r="F20" s="15" t="n">
        <v>144.3</v>
      </c>
      <c r="G20" s="16" t="n">
        <v>158.7</v>
      </c>
      <c r="H20" s="16" t="n">
        <v>170.3</v>
      </c>
      <c r="I20" s="16" t="n">
        <v>180.4</v>
      </c>
    </row>
    <row r="21">
      <c r="B21" s="5" t="inlineStr">
        <is>
          <t>Capital Expenditures (Capex)</t>
        </is>
      </c>
      <c r="C21" s="17" t="n">
        <v>37</v>
      </c>
      <c r="D21" s="17" t="n">
        <v>44.9</v>
      </c>
      <c r="E21" s="17" t="n">
        <v>50.2</v>
      </c>
      <c r="F21" s="17" t="n">
        <v>52.8</v>
      </c>
      <c r="G21" s="18" t="n">
        <v>55.4</v>
      </c>
      <c r="H21" s="18" t="n">
        <v>53.9</v>
      </c>
      <c r="I21" s="18" t="n">
        <v>51.7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65.3</v>
      </c>
      <c r="D24" s="17" t="n">
        <v>83.2</v>
      </c>
      <c r="E24" s="17" t="n">
        <v>101</v>
      </c>
      <c r="F24" s="17" t="n">
        <v>118.8</v>
      </c>
      <c r="G24" s="18" t="n">
        <v>140.2</v>
      </c>
      <c r="H24" s="18" t="n">
        <v>160.4</v>
      </c>
      <c r="I24" s="18" t="n">
        <v>178.2</v>
      </c>
    </row>
    <row r="25">
      <c r="B25" s="14" t="inlineStr">
        <is>
          <t>Gross Debt (Loans + Eurobonds/Sukuk)</t>
        </is>
      </c>
      <c r="C25" s="15" t="n">
        <v>415.5</v>
      </c>
      <c r="D25" s="15" t="n">
        <v>449.7</v>
      </c>
      <c r="E25" s="15" t="n">
        <v>479</v>
      </c>
      <c r="F25" s="15" t="n">
        <v>488.8</v>
      </c>
      <c r="G25" s="16" t="n">
        <v>479</v>
      </c>
      <c r="H25" s="16" t="n">
        <v>464.4</v>
      </c>
      <c r="I25" s="16" t="n">
        <v>439.9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
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Aldar Properties PJSC</t>
        </is>
      </c>
    </row>
    <row r="3">
      <c r="B3" s="2" t="inlineStr">
        <is>
          <t>CEMBI CEEMEA Benchmark Credit Assessment | Country: United Arab Emirates | Sector: Real Estate / Abu Dhabi Master Developer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 / Sukuk</t>
        </is>
      </c>
      <c r="C6" s="5" t="inlineStr">
        <is>
          <t>ALDAR 5.25% 2029 USD Sukuk ($500M)</t>
        </is>
      </c>
      <c r="D6" s="4" t="inlineStr">
        <is>
          <t>Agency Rating</t>
        </is>
      </c>
      <c r="E6" s="5" t="inlineStr">
        <is>
          <t>BBB- / Baa2 (S&amp;P/Moody's)</t>
        </is>
      </c>
    </row>
    <row r="7">
      <c r="B7" s="4" t="inlineStr">
        <is>
          <t>Clean Price</t>
        </is>
      </c>
      <c r="C7" s="6" t="n">
        <v>100.1</v>
      </c>
      <c r="D7" s="4" t="inlineStr">
        <is>
          <t>Recommendation</t>
        </is>
      </c>
      <c r="E7" s="7" t="inlineStr">
        <is>
          <t>Overweight / Core Carry</t>
        </is>
      </c>
    </row>
    <row r="8">
      <c r="B8" s="4" t="inlineStr">
        <is>
          <t>Yield to Maturity (YTM)</t>
        </is>
      </c>
      <c r="C8" s="8" t="n">
        <v>0.0525</v>
      </c>
      <c r="D8" s="4" t="inlineStr">
        <is>
          <t>Z-Spread</t>
        </is>
      </c>
      <c r="E8" s="5" t="inlineStr">
        <is>
          <t>+105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 / Gross Income</t>
        </is>
      </c>
      <c r="C11" s="10" t="n">
        <v>3900</v>
      </c>
      <c r="D11" s="10">
        <f>C11*0.80</f>
        <v/>
      </c>
      <c r="E11" s="11" t="inlineStr">
        <is>
          <t>Top-line earnings under baseline vs macro stress</t>
        </is>
      </c>
    </row>
    <row r="12">
      <c r="B12" s="9" t="inlineStr">
        <is>
          <t>EBITDA / Operating Profit</t>
        </is>
      </c>
      <c r="C12" s="10" t="n">
        <v>1550</v>
      </c>
      <c r="D12" s="10">
        <f>C12*0.75</f>
        <v/>
      </c>
      <c r="E12" s="11" t="inlineStr">
        <is>
          <t>Margin: 39.7% of revenue</t>
        </is>
      </c>
    </row>
    <row r="13">
      <c r="B13" s="9" t="inlineStr">
        <is>
          <t>Capex / Provisions</t>
        </is>
      </c>
      <c r="C13" s="10" t="n">
        <v>450</v>
      </c>
      <c r="D13" s="10">
        <f>C13*0.85</f>
        <v/>
      </c>
      <c r="E13" s="11" t="inlineStr">
        <is>
          <t>Reinvestment and credit risk allocation</t>
        </is>
      </c>
    </row>
    <row r="14">
      <c r="B14" s="9" t="inlineStr">
        <is>
          <t>Free Cash Flow / Net Surplus</t>
        </is>
      </c>
      <c r="C14" s="10">
        <f>C12-C13-C16</f>
        <v/>
      </c>
      <c r="D14" s="10">
        <f>D12-D13-D16</f>
        <v/>
      </c>
      <c r="E14" s="11" t="inlineStr">
        <is>
          <t>Retained surplus after debt servicing</t>
        </is>
      </c>
    </row>
    <row r="15">
      <c r="B15" s="9" t="inlineStr">
        <is>
          <t>Cash &amp; Liquid Assets</t>
        </is>
      </c>
      <c r="C15" s="10" t="n">
        <v>2800</v>
      </c>
      <c r="D15" s="10">
        <f>C15*0.90</f>
        <v/>
      </c>
      <c r="E15" s="11" t="inlineStr">
        <is>
          <t>High-quality liquid assets and treasury reserves</t>
        </is>
      </c>
    </row>
    <row r="16">
      <c r="B16" s="9" t="inlineStr">
        <is>
          <t>Interest / Profit Expense</t>
        </is>
      </c>
      <c r="C16" s="10" t="n">
        <v>210</v>
      </c>
      <c r="D16" s="10">
        <f>C16</f>
        <v/>
      </c>
      <c r="E16" s="11" t="inlineStr">
        <is>
          <t>Annual wholesale funding and debt service cost</t>
        </is>
      </c>
    </row>
    <row r="17">
      <c r="B17" s="9" t="inlineStr">
        <is>
          <t>Gross Debt / Wholesale Funding</t>
        </is>
      </c>
      <c r="C17" s="10" t="n">
        <v>3600</v>
      </c>
      <c r="D17" s="10">
        <f>C17</f>
        <v/>
      </c>
      <c r="E17" s="11" t="inlineStr">
        <is>
          <t>Total outstanding debt obligations</t>
        </is>
      </c>
    </row>
    <row r="18">
      <c r="B18" s="9" t="inlineStr">
        <is>
          <t>Net Debt / Net Funding Position</t>
        </is>
      </c>
      <c r="C18" s="10">
        <f>C17-C15</f>
        <v/>
      </c>
      <c r="D18" s="10">
        <f>D17-D15</f>
        <v/>
      </c>
      <c r="E18" s="11" t="inlineStr">
        <is>
          <t>Gross Debt minus liquid reserves</t>
        </is>
      </c>
    </row>
    <row r="19">
      <c r="B19" s="9" t="inlineStr">
        <is>
          <t>Net Debt / EBITDA (or CAR % for Banks)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Interest Coverage Ratio</t>
        </is>
      </c>
      <c r="C20" s="13">
        <f>C12/C16</f>
        <v/>
      </c>
      <c r="D20" s="13">
        <f>D12/D16</f>
        <v/>
      </c>
      <c r="E20" s="11" t="inlineStr">
        <is>
          <t>Debt servicing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High Absorption)</t>
        </is>
      </c>
      <c r="C23" s="10" t="n">
        <v>19800</v>
      </c>
      <c r="D23" s="5" t="inlineStr">
        <is>
          <t>100%</t>
        </is>
      </c>
      <c r="E23" s="15" t="n">
        <v>102.5</v>
      </c>
    </row>
    <row r="24">
      <c r="B24" s="5" t="inlineStr">
        <is>
          <t>Base Case (Through-the-Cycle Multiple)</t>
        </is>
      </c>
      <c r="C24" s="10" t="n">
        <v>18000</v>
      </c>
      <c r="D24" s="5" t="inlineStr">
        <is>
          <t>100%</t>
        </is>
      </c>
      <c r="E24" s="15" t="n">
        <v>101</v>
      </c>
    </row>
    <row r="25">
      <c r="B25" s="5" t="inlineStr">
        <is>
          <t>Downside Stress Case (Sub-Consensus Performance)</t>
        </is>
      </c>
      <c r="C25" s="10" t="n">
        <v>13500</v>
      </c>
      <c r="D25" s="5" t="inlineStr">
        <is>
          <t>100%</t>
        </is>
      </c>
      <c r="E25" s="15" t="n">
        <v>89</v>
      </c>
    </row>
    <row r="26">
      <c r="B26" s="16" t="inlineStr">
        <is>
          <t>Liquidation Floor (Hard Asset Collateral)</t>
        </is>
      </c>
      <c r="C26" s="17" t="n">
        <v>9000</v>
      </c>
      <c r="D26" s="16" t="inlineStr">
        <is>
          <t>Full Collateral Backing</t>
        </is>
      </c>
      <c r="E26" s="18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2026-09-19T06:37:41Z</dcterms:created>
  <dcterms:modified xmlns:dcterms="http://purl.org/dc/terms/" xmlns:xsi="http://www.w3.org/2001/XMLSchema-instance" xsi:type="dcterms:W3CDTF">2026-09-19T06:37:41Z</dcterms:modified>
</cp:coreProperties>
</file>
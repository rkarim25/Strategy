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_Summary" sheetId="1" state="visible" r:id="rId1"/>
    <sheet xmlns:r="http://schemas.openxmlformats.org/officeDocument/2006/relationships" name="EBITDA_Quality_Structure" sheetId="2" state="visible" r:id="rId2"/>
    <sheet xmlns:r="http://schemas.openxmlformats.org/officeDocument/2006/relationships" name="Financial_Model_USD" sheetId="3" state="visible" r:id="rId3"/>
    <sheet xmlns:r="http://schemas.openxmlformats.org/officeDocument/2006/relationships" name="Balance_Sheet_DeepDive" sheetId="4" state="visible" r:id="rId4"/>
    <sheet xmlns:r="http://schemas.openxmlformats.org/officeDocument/2006/relationships" name="Debt_Structure_Waterfall" sheetId="5" state="visible" r:id="rId5"/>
    <sheet xmlns:r="http://schemas.openxmlformats.org/officeDocument/2006/relationships" name="Bond_Recovery_Model" sheetId="6" state="visible" r:id="rId6"/>
    <sheet xmlns:r="http://schemas.openxmlformats.org/officeDocument/2006/relationships" name="Restructuring_Pathways" sheetId="7" state="visible" r:id="rId7"/>
    <sheet xmlns:r="http://schemas.openxmlformats.org/officeDocument/2006/relationships" name="Distressed_Trading_Strategy" sheetId="8" state="visible" r:id="rId8"/>
    <sheet xmlns:r="http://schemas.openxmlformats.org/officeDocument/2006/relationships" name="Generation_Only_Stress" sheetId="9" state="visible" r:id="rId9"/>
    <sheet xmlns:r="http://schemas.openxmlformats.org/officeDocument/2006/relationships" name="Mgmt_Deficit_Valuation" sheetId="10" state="visible" r:id="rId10"/>
    <sheet xmlns:r="http://schemas.openxmlformats.org/officeDocument/2006/relationships" name="Zorlu_Group_Contagion" sheetId="11" state="visible" r:id="rId11"/>
  </sheets>
  <definedNames/>
  <calcPr calcId="124519" fullCalcOnLoad="1"/>
</workbook>
</file>

<file path=xl/styles.xml><?xml version="1.0" encoding="utf-8"?>
<styleSheet xmlns="http://schemas.openxmlformats.org/spreadsheetml/2006/main">
  <numFmts count="13">
    <numFmt numFmtId="164" formatCode="$#,##0.0"/>
    <numFmt numFmtId="165" formatCode="-0.0%"/>
    <numFmt numFmtId="166" formatCode="($#,##0.0)"/>
    <numFmt numFmtId="167" formatCode="($#,##0.0);($#,##0.0)"/>
    <numFmt numFmtId="168" formatCode="0.00x"/>
    <numFmt numFmtId="169" formatCode="0.0%"/>
    <numFmt numFmtId="170" formatCode="+0.0%;-0.0%"/>
    <numFmt numFmtId="171" formatCode="0.00 'Yrs'"/>
    <numFmt numFmtId="172" formatCode="0.000"/>
    <numFmt numFmtId="173" formatCode="0.0'%'"/>
    <numFmt numFmtId="174" formatCode="0.0 'Mo'"/>
    <numFmt numFmtId="175" formatCode="0.00 'x'"/>
    <numFmt numFmtId="176" formatCode="0.0"/>
  </numFmts>
  <fonts count="27">
    <font>
      <name val="Calibri"/>
      <family val="2"/>
      <color theme="1"/>
      <sz val="11"/>
      <scheme val="minor"/>
    </font>
    <font>
      <name val="Calibri"/>
      <b val="1"/>
      <color rgb="00FFFFFF"/>
      <sz val="15"/>
    </font>
    <font>
      <name val="Calibri"/>
      <i val="1"/>
      <color rgb="00E2E8F0"/>
      <sz val="10"/>
    </font>
    <font>
      <name val="Calibri"/>
      <b val="1"/>
      <color rgb="004A5568"/>
      <sz val="9"/>
    </font>
    <font>
      <name val="Calibri"/>
      <b val="1"/>
      <color rgb="009B2C2C"/>
      <sz val="14"/>
    </font>
    <font>
      <name val="Calibri"/>
      <i val="1"/>
      <color rgb="00718096"/>
      <sz val="8"/>
    </font>
    <font>
      <name val="Calibri"/>
      <b val="1"/>
      <color rgb="001B365D"/>
      <sz val="14"/>
    </font>
    <font>
      <name val="Calibri"/>
      <b val="1"/>
      <color rgb="00C05621"/>
      <sz val="14"/>
    </font>
    <font>
      <name val="Calibri"/>
      <b val="1"/>
      <color rgb="002C5282"/>
      <sz val="14"/>
    </font>
    <font>
      <name val="Calibri"/>
      <b val="1"/>
      <color rgb="00FFFFFF"/>
      <sz val="10"/>
    </font>
    <font>
      <name val="Calibri"/>
      <b val="1"/>
      <color rgb="00FFFFFF"/>
      <sz val="9"/>
    </font>
    <font>
      <name val="Calibri"/>
      <color rgb="002D3748"/>
      <sz val="9"/>
    </font>
    <font>
      <name val="Calibri"/>
      <b val="1"/>
      <color rgb="001A202C"/>
      <sz val="9"/>
    </font>
    <font>
      <name val="Calibri"/>
      <b val="1"/>
      <color rgb="009B2C2C"/>
      <sz val="9"/>
    </font>
    <font>
      <name val="Calibri"/>
      <i val="1"/>
      <color rgb="00E2E8F0"/>
      <sz val="8"/>
    </font>
    <font>
      <name val="Calibri"/>
      <b val="1"/>
      <color rgb="001B365D"/>
      <sz val="10"/>
    </font>
    <font>
      <name val="Calibri"/>
      <b val="1"/>
      <color rgb="002C5282"/>
      <sz val="11"/>
    </font>
    <font>
      <name val="Calibri"/>
      <b val="1"/>
      <color rgb="009B2C2C"/>
      <sz val="10"/>
    </font>
    <font>
      <name val="Calibri"/>
      <b val="1"/>
      <color rgb="0022543D"/>
      <sz val="9"/>
    </font>
    <font>
      <name val="Calibri"/>
      <i val="1"/>
      <color rgb="001A365D"/>
      <sz val="9"/>
    </font>
    <font>
      <name val="Calibri"/>
      <b val="1"/>
      <color rgb="00C05621"/>
      <sz val="9"/>
    </font>
    <font>
      <name val="Calibri"/>
      <b val="1"/>
      <color rgb="001B365D"/>
      <sz val="11"/>
    </font>
    <font>
      <name val="Calibri"/>
      <b val="1"/>
      <color rgb="0022543D"/>
      <sz val="10"/>
    </font>
    <font>
      <name val="Calibri"/>
      <b val="1"/>
      <color rgb="00C05621"/>
      <sz val="8"/>
    </font>
    <font>
      <name val="Calibri"/>
      <b val="1"/>
      <color rgb="002C5282"/>
      <sz val="9"/>
    </font>
    <font>
      <name val="Calibri"/>
      <b val="1"/>
      <color rgb="001B365D"/>
      <sz val="9"/>
    </font>
    <font>
      <name val="Calibri"/>
      <b val="1"/>
      <color rgb="00C05621"/>
      <sz val="10"/>
    </font>
  </fonts>
  <fills count="14">
    <fill>
      <patternFill/>
    </fill>
    <fill>
      <patternFill patternType="gray125"/>
    </fill>
    <fill>
      <patternFill patternType="solid">
        <fgColor rgb="001B365D"/>
        <bgColor rgb="001B365D"/>
      </patternFill>
    </fill>
    <fill>
      <patternFill patternType="solid">
        <fgColor rgb="00EDF2F7"/>
        <bgColor rgb="00EDF2F7"/>
      </patternFill>
    </fill>
    <fill>
      <patternFill patternType="solid">
        <fgColor rgb="002C5282"/>
        <bgColor rgb="002C5282"/>
      </patternFill>
    </fill>
    <fill>
      <patternFill patternType="solid">
        <fgColor rgb="002D3748"/>
        <bgColor rgb="002D3748"/>
      </patternFill>
    </fill>
    <fill>
      <patternFill patternType="solid">
        <fgColor rgb="00F7FAFC"/>
        <bgColor rgb="00F7FAFC"/>
      </patternFill>
    </fill>
    <fill>
      <patternFill patternType="solid">
        <fgColor rgb="00FEFCBF"/>
        <bgColor rgb="00FEFCBF"/>
      </patternFill>
    </fill>
    <fill>
      <patternFill patternType="solid">
        <fgColor rgb="00FFF5F5"/>
        <bgColor rgb="00FFF5F5"/>
      </patternFill>
    </fill>
    <fill>
      <patternFill patternType="solid">
        <fgColor rgb="00EBF8FF"/>
        <bgColor rgb="00EBF8FF"/>
      </patternFill>
    </fill>
    <fill>
      <patternFill patternType="solid">
        <fgColor rgb="00BEE3F8"/>
        <bgColor rgb="00BEE3F8"/>
      </patternFill>
    </fill>
    <fill>
      <patternFill patternType="solid">
        <fgColor rgb="00F0FFF4"/>
        <bgColor rgb="00F0FFF4"/>
      </patternFill>
    </fill>
    <fill>
      <patternFill patternType="solid">
        <fgColor rgb="00FED7D7"/>
        <bgColor rgb="00FED7D7"/>
      </patternFill>
    </fill>
    <fill>
      <patternFill patternType="solid">
        <fgColor rgb="00FFFAF0"/>
        <bgColor rgb="00FFFAF0"/>
      </patternFill>
    </fill>
  </fills>
  <borders count="12">
    <border>
      <left/>
      <right/>
      <top/>
      <bottom/>
      <diagonal/>
    </border>
    <border>
      <left style="thin">
        <color rgb="00CBD5E0"/>
      </left>
      <right style="thin">
        <color rgb="00CBD5E0"/>
      </right>
      <top style="thin">
        <color rgb="00CBD5E0"/>
      </top>
      <bottom style="thin">
        <color rgb="00CBD5E0"/>
      </bottom>
    </border>
    <border>
      <left style="thin">
        <color rgb="00CBD5E0"/>
      </left>
      <right style="thin">
        <color rgb="00CBD5E0"/>
      </right>
      <top style="medium">
        <color rgb="001A202C"/>
      </top>
      <bottom style="double">
        <color rgb="001A202C"/>
      </bottom>
    </border>
    <border>
      <left/>
      <right/>
      <top style="thin">
        <color rgb="00CBD5E0"/>
      </top>
      <bottom/>
      <diagonal/>
    </border>
    <border>
      <left/>
      <right style="thin">
        <color rgb="00CBD5E0"/>
      </right>
      <top style="thin">
        <color rgb="00CBD5E0"/>
      </top>
      <bottom/>
      <diagonal/>
    </border>
    <border>
      <left/>
      <right style="thin">
        <color rgb="00CBD5E0"/>
      </right>
      <top style="thin">
        <color rgb="00CBD5E0"/>
      </top>
      <bottom style="thin">
        <color rgb="00CBD5E0"/>
      </bottom>
      <diagonal/>
    </border>
    <border>
      <left/>
      <right/>
      <top style="thin">
        <color rgb="00CBD5E0"/>
      </top>
      <bottom style="thin">
        <color rgb="00CBD5E0"/>
      </bottom>
      <diagonal/>
    </border>
    <border>
      <left style="thin">
        <color rgb="00CBD5E0"/>
      </left>
      <right/>
      <top/>
      <bottom/>
      <diagonal/>
    </border>
    <border>
      <left/>
      <right style="thin">
        <color rgb="00CBD5E0"/>
      </right>
      <top/>
      <bottom/>
      <diagonal/>
    </border>
    <border>
      <left style="thin">
        <color rgb="00CBD5E0"/>
      </left>
      <right/>
      <top/>
      <bottom style="thin">
        <color rgb="00CBD5E0"/>
      </bottom>
      <diagonal/>
    </border>
    <border>
      <left/>
      <right/>
      <top/>
      <bottom style="thin">
        <color rgb="00CBD5E0"/>
      </bottom>
      <diagonal/>
    </border>
    <border>
      <left/>
      <right style="thin">
        <color rgb="00CBD5E0"/>
      </right>
      <top/>
      <bottom style="thin">
        <color rgb="00CBD5E0"/>
      </bottom>
      <diagonal/>
    </border>
  </borders>
  <cellStyleXfs count="1">
    <xf numFmtId="0" fontId="0" fillId="0" borderId="0"/>
  </cellStyleXfs>
  <cellXfs count="110">
    <xf numFmtId="0" fontId="0" fillId="0" borderId="0" pivotButton="0" quotePrefix="0" xfId="0"/>
    <xf numFmtId="0" fontId="1" fillId="2" borderId="0" applyAlignment="1" pivotButton="0" quotePrefix="0" xfId="0">
      <alignment horizontal="left" vertical="center" indent="1"/>
    </xf>
    <xf numFmtId="0" fontId="2" fillId="2" borderId="0" applyAlignment="1" pivotButton="0" quotePrefix="0" xfId="0">
      <alignment horizontal="left" vertical="center" indent="1"/>
    </xf>
    <xf numFmtId="0" fontId="3" fillId="3" borderId="1" applyAlignment="1" pivotButton="0" quotePrefix="0" xfId="0">
      <alignment horizontal="center" vertical="center"/>
    </xf>
    <xf numFmtId="0" fontId="0" fillId="0" borderId="1" pivotButton="0" quotePrefix="0" xfId="0"/>
    <xf numFmtId="0" fontId="4" fillId="3" borderId="1" applyAlignment="1" pivotButton="0" quotePrefix="0" xfId="0">
      <alignment horizontal="center" vertical="center"/>
    </xf>
    <xf numFmtId="0" fontId="6" fillId="3" borderId="1" applyAlignment="1" pivotButton="0" quotePrefix="0" xfId="0">
      <alignment horizontal="center" vertical="center"/>
    </xf>
    <xf numFmtId="0" fontId="7" fillId="3" borderId="1" applyAlignment="1" pivotButton="0" quotePrefix="0" xfId="0">
      <alignment horizontal="center" vertical="center"/>
    </xf>
    <xf numFmtId="0" fontId="8" fillId="3" borderId="1" applyAlignment="1" pivotButton="0" quotePrefix="0" xfId="0">
      <alignment horizontal="center" vertical="center"/>
    </xf>
    <xf numFmtId="0" fontId="5" fillId="3" borderId="1" applyAlignment="1" pivotButton="0" quotePrefix="0" xfId="0">
      <alignment horizontal="center" vertical="center"/>
    </xf>
    <xf numFmtId="0" fontId="9" fillId="4" borderId="0" applyAlignment="1" pivotButton="0" quotePrefix="0" xfId="0">
      <alignment horizontal="left" vertical="center" indent="1"/>
    </xf>
    <xf numFmtId="0" fontId="10" fillId="5" borderId="1" applyAlignment="1" pivotButton="0" quotePrefix="0" xfId="0">
      <alignment horizontal="center" vertical="center"/>
    </xf>
    <xf numFmtId="0" fontId="11" fillId="0" borderId="1" applyAlignment="1" pivotButton="0" quotePrefix="0" xfId="0">
      <alignment horizontal="left" vertical="center" wrapText="1"/>
    </xf>
    <xf numFmtId="0" fontId="11" fillId="6" borderId="1" applyAlignment="1" pivotButton="0" quotePrefix="0" xfId="0">
      <alignment horizontal="left" vertical="center" wrapText="1"/>
    </xf>
    <xf numFmtId="0" fontId="10" fillId="5" borderId="0" pivotButton="0" quotePrefix="0" xfId="0"/>
    <xf numFmtId="0" fontId="11" fillId="0" borderId="1" applyAlignment="1" pivotButton="0" quotePrefix="0" xfId="0">
      <alignment horizontal="left" vertical="center"/>
    </xf>
    <xf numFmtId="164" fontId="11" fillId="0" borderId="1" applyAlignment="1" pivotButton="0" quotePrefix="0" xfId="0">
      <alignment horizontal="right" vertical="center"/>
    </xf>
    <xf numFmtId="0" fontId="12" fillId="0" borderId="1" applyAlignment="1" pivotButton="0" quotePrefix="0" xfId="0">
      <alignment horizontal="left" vertical="center"/>
    </xf>
    <xf numFmtId="164" fontId="12" fillId="3" borderId="2" applyAlignment="1" pivotButton="0" quotePrefix="0" xfId="0">
      <alignment horizontal="right" vertical="center"/>
    </xf>
    <xf numFmtId="165" fontId="13" fillId="0" borderId="1" applyAlignment="1" pivotButton="0" quotePrefix="0" xfId="0">
      <alignment horizontal="right" vertical="center"/>
    </xf>
    <xf numFmtId="164" fontId="12" fillId="7" borderId="1" applyAlignment="1" pivotButton="0" quotePrefix="0" xfId="0">
      <alignment horizontal="right" vertical="center"/>
    </xf>
    <xf numFmtId="166" fontId="11" fillId="0" borderId="1" applyAlignment="1" pivotButton="0" quotePrefix="0" xfId="0">
      <alignment horizontal="right" vertical="center"/>
    </xf>
    <xf numFmtId="167" fontId="13" fillId="8" borderId="2" applyAlignment="1" pivotButton="0" quotePrefix="0" xfId="0">
      <alignment horizontal="right" vertical="center"/>
    </xf>
    <xf numFmtId="168" fontId="12" fillId="0" borderId="1" applyAlignment="1" pivotButton="0" quotePrefix="0" xfId="0">
      <alignment horizontal="right" vertical="center"/>
    </xf>
    <xf numFmtId="168" fontId="12" fillId="3" borderId="1" applyAlignment="1" pivotButton="0" quotePrefix="0" xfId="0">
      <alignment horizontal="right" vertical="center"/>
    </xf>
    <xf numFmtId="168" fontId="12" fillId="8" borderId="1" applyAlignment="1" pivotButton="0" quotePrefix="0" xfId="0">
      <alignment horizontal="right" vertical="center"/>
    </xf>
    <xf numFmtId="3" fontId="11" fillId="0" borderId="1" applyAlignment="1" pivotButton="0" quotePrefix="0" xfId="0">
      <alignment horizontal="right" vertical="center"/>
    </xf>
    <xf numFmtId="2" fontId="11" fillId="0" borderId="1" applyAlignment="1" pivotButton="0" quotePrefix="0" xfId="0">
      <alignment horizontal="right" vertical="center"/>
    </xf>
    <xf numFmtId="0" fontId="11" fillId="0" borderId="1" applyAlignment="1" pivotButton="0" quotePrefix="0" xfId="0">
      <alignment horizontal="center" vertical="center"/>
    </xf>
    <xf numFmtId="0" fontId="11" fillId="0" borderId="1" applyAlignment="1" pivotButton="0" quotePrefix="0" xfId="0">
      <alignment horizontal="right" vertical="center"/>
    </xf>
    <xf numFmtId="0" fontId="12" fillId="3" borderId="2" pivotButton="0" quotePrefix="0" xfId="0"/>
    <xf numFmtId="0" fontId="0" fillId="3" borderId="2" pivotButton="0" quotePrefix="0" xfId="0"/>
    <xf numFmtId="0" fontId="5" fillId="3" borderId="2" pivotButton="0" quotePrefix="0" xfId="0"/>
    <xf numFmtId="0" fontId="10" fillId="5" borderId="2" pivotButton="0" quotePrefix="0" xfId="0"/>
    <xf numFmtId="0" fontId="0" fillId="5" borderId="2" pivotButton="0" quotePrefix="0" xfId="0"/>
    <xf numFmtId="164" fontId="10" fillId="5" borderId="2" applyAlignment="1" pivotButton="0" quotePrefix="0" xfId="0">
      <alignment horizontal="right" vertical="center"/>
    </xf>
    <xf numFmtId="0" fontId="14" fillId="5" borderId="2" pivotButton="0" quotePrefix="0" xfId="0"/>
    <xf numFmtId="0" fontId="11" fillId="0" borderId="1" pivotButton="0" quotePrefix="0" xfId="0"/>
    <xf numFmtId="0" fontId="5" fillId="0" borderId="1" pivotButton="0" quotePrefix="0" xfId="0"/>
    <xf numFmtId="0" fontId="5" fillId="0" borderId="1" applyAlignment="1" pivotButton="0" quotePrefix="0" xfId="0">
      <alignment horizontal="center" vertical="center"/>
    </xf>
    <xf numFmtId="0" fontId="5" fillId="0" borderId="1" applyAlignment="1" pivotButton="0" quotePrefix="0" xfId="0">
      <alignment horizontal="left" vertical="center"/>
    </xf>
    <xf numFmtId="166" fontId="12" fillId="3" borderId="2" applyAlignment="1" pivotButton="0" quotePrefix="0" xfId="0">
      <alignment horizontal="right" vertical="center"/>
    </xf>
    <xf numFmtId="169" fontId="15" fillId="9" borderId="2" applyAlignment="1" pivotButton="0" quotePrefix="0" xfId="0">
      <alignment horizontal="right" vertical="center"/>
    </xf>
    <xf numFmtId="164" fontId="16" fillId="10" borderId="2" applyAlignment="1" pivotButton="0" quotePrefix="0" xfId="0">
      <alignment horizontal="right" vertical="center"/>
    </xf>
    <xf numFmtId="164" fontId="17" fillId="8" borderId="1" applyAlignment="1" pivotButton="0" quotePrefix="0" xfId="0">
      <alignment horizontal="right" vertical="center"/>
    </xf>
    <xf numFmtId="170" fontId="13" fillId="8" borderId="2" applyAlignment="1" pivotButton="0" quotePrefix="0" xfId="0">
      <alignment horizontal="right" vertical="center"/>
    </xf>
    <xf numFmtId="170" fontId="18" fillId="11" borderId="2" applyAlignment="1" pivotButton="0" quotePrefix="0" xfId="0">
      <alignment horizontal="right" vertical="center"/>
    </xf>
    <xf numFmtId="0" fontId="13" fillId="8" borderId="1" applyAlignment="1" pivotButton="0" quotePrefix="0" xfId="0">
      <alignment horizontal="left" vertical="center" wrapText="1"/>
    </xf>
    <xf numFmtId="0" fontId="10" fillId="5" borderId="0" applyAlignment="1" pivotButton="0" quotePrefix="0" xfId="0">
      <alignment horizontal="center" vertical="center"/>
    </xf>
    <xf numFmtId="164" fontId="12" fillId="11" borderId="1" applyAlignment="1" pivotButton="0" quotePrefix="0" xfId="0">
      <alignment horizontal="right" vertical="center"/>
    </xf>
    <xf numFmtId="164" fontId="12" fillId="3" borderId="1" applyAlignment="1" pivotButton="0" quotePrefix="0" xfId="0">
      <alignment horizontal="right" vertical="center"/>
    </xf>
    <xf numFmtId="0" fontId="12" fillId="6" borderId="1" applyAlignment="1" pivotButton="0" quotePrefix="0" xfId="0">
      <alignment horizontal="left" vertical="center"/>
    </xf>
    <xf numFmtId="164" fontId="13" fillId="12" borderId="1" applyAlignment="1" pivotButton="0" quotePrefix="0" xfId="0">
      <alignment horizontal="right" vertical="center"/>
    </xf>
    <xf numFmtId="164" fontId="12" fillId="8" borderId="1" applyAlignment="1" pivotButton="0" quotePrefix="0" xfId="0">
      <alignment horizontal="right" vertical="center"/>
    </xf>
    <xf numFmtId="0" fontId="19" fillId="9" borderId="1" applyAlignment="1" pivotButton="0" quotePrefix="0" xfId="0">
      <alignment horizontal="left" vertical="top" wrapText="1"/>
    </xf>
    <xf numFmtId="0" fontId="0" fillId="0" borderId="5" pivotButton="0" quotePrefix="0" xfId="0"/>
    <xf numFmtId="0" fontId="0" fillId="0" borderId="6" pivotButton="0" quotePrefix="0" xfId="0"/>
    <xf numFmtId="0" fontId="12" fillId="3" borderId="1" applyAlignment="1" pivotButton="0" quotePrefix="0" xfId="0">
      <alignment horizontal="left" vertical="center"/>
    </xf>
    <xf numFmtId="164" fontId="18" fillId="11" borderId="1" applyAlignment="1" pivotButton="0" quotePrefix="0" xfId="0">
      <alignment horizontal="right" vertical="center"/>
    </xf>
    <xf numFmtId="164" fontId="13" fillId="8" borderId="1" applyAlignment="1" pivotButton="0" quotePrefix="0" xfId="0">
      <alignment horizontal="right" vertical="center"/>
    </xf>
    <xf numFmtId="164" fontId="20" fillId="13" borderId="1" applyAlignment="1" pivotButton="0" quotePrefix="0" xfId="0">
      <alignment horizontal="right" vertical="center"/>
    </xf>
    <xf numFmtId="0" fontId="9" fillId="5" borderId="1" applyAlignment="1" pivotButton="0" quotePrefix="0" xfId="0">
      <alignment horizontal="left" vertical="center"/>
    </xf>
    <xf numFmtId="0" fontId="12" fillId="5" borderId="1" applyAlignment="1" pivotButton="0" quotePrefix="0" xfId="0">
      <alignment horizontal="left" vertical="center"/>
    </xf>
    <xf numFmtId="164" fontId="9" fillId="5" borderId="2" applyAlignment="1" pivotButton="0" quotePrefix="0" xfId="0">
      <alignment horizontal="right" vertical="center"/>
    </xf>
    <xf numFmtId="0" fontId="12" fillId="3" borderId="1" applyAlignment="1" pivotButton="0" quotePrefix="0" xfId="0">
      <alignment horizontal="center" vertical="center"/>
    </xf>
    <xf numFmtId="0" fontId="12" fillId="7" borderId="1" applyAlignment="1" pivotButton="0" quotePrefix="0" xfId="0">
      <alignment horizontal="center" vertical="center"/>
    </xf>
    <xf numFmtId="0" fontId="0" fillId="0" borderId="3" pivotButton="0" quotePrefix="0" xfId="0"/>
    <xf numFmtId="0" fontId="0" fillId="0" borderId="4" pivotButton="0" quotePrefix="0" xfId="0"/>
    <xf numFmtId="0" fontId="0" fillId="0" borderId="7" pivotButton="0" quotePrefix="0" xfId="0"/>
    <xf numFmtId="0" fontId="0" fillId="0" borderId="8" pivotButton="0" quotePrefix="0" xfId="0"/>
    <xf numFmtId="0" fontId="0" fillId="0" borderId="9" pivotButton="0" quotePrefix="0" xfId="0"/>
    <xf numFmtId="0" fontId="0" fillId="0" borderId="10" pivotButton="0" quotePrefix="0" xfId="0"/>
    <xf numFmtId="0" fontId="0" fillId="0" borderId="11" pivotButton="0" quotePrefix="0" xfId="0"/>
    <xf numFmtId="0" fontId="12" fillId="0" borderId="1" applyAlignment="1" pivotButton="0" quotePrefix="0" xfId="0">
      <alignment horizontal="left" vertical="center" wrapText="1"/>
    </xf>
    <xf numFmtId="0" fontId="11" fillId="7" borderId="1" applyAlignment="1" pivotButton="0" quotePrefix="0" xfId="0">
      <alignment horizontal="left" vertical="center" wrapText="1"/>
    </xf>
    <xf numFmtId="169" fontId="11" fillId="0" borderId="1" applyAlignment="1" pivotButton="0" quotePrefix="0" xfId="0">
      <alignment horizontal="right" vertical="center"/>
    </xf>
    <xf numFmtId="171" fontId="11" fillId="0" borderId="1" applyAlignment="1" pivotButton="0" quotePrefix="0" xfId="0">
      <alignment horizontal="right" vertical="center"/>
    </xf>
    <xf numFmtId="172" fontId="5" fillId="0" borderId="1" applyAlignment="1" pivotButton="0" quotePrefix="0" xfId="0">
      <alignment horizontal="right" vertical="center"/>
    </xf>
    <xf numFmtId="164" fontId="21" fillId="10" borderId="2" applyAlignment="1" pivotButton="0" quotePrefix="0" xfId="0">
      <alignment horizontal="right" vertical="center"/>
    </xf>
    <xf numFmtId="170" fontId="22" fillId="11" borderId="2" applyAlignment="1" pivotButton="0" quotePrefix="0" xfId="0">
      <alignment horizontal="right" vertical="center"/>
    </xf>
    <xf numFmtId="170" fontId="17" fillId="8" borderId="2" applyAlignment="1" pivotButton="0" quotePrefix="0" xfId="0">
      <alignment horizontal="right" vertical="center"/>
    </xf>
    <xf numFmtId="173" fontId="11" fillId="0" borderId="1" applyAlignment="1" pivotButton="0" quotePrefix="0" xfId="0">
      <alignment horizontal="right" vertical="center"/>
    </xf>
    <xf numFmtId="0" fontId="11" fillId="13" borderId="1" applyAlignment="1" pivotButton="0" quotePrefix="0" xfId="0">
      <alignment horizontal="left" vertical="center"/>
    </xf>
    <xf numFmtId="0" fontId="23" fillId="0" borderId="1" applyAlignment="1" pivotButton="0" quotePrefix="0" xfId="0">
      <alignment horizontal="left" vertical="center"/>
    </xf>
    <xf numFmtId="0" fontId="12" fillId="3" borderId="2" applyAlignment="1" pivotButton="0" quotePrefix="0" xfId="0">
      <alignment horizontal="left" vertical="center"/>
    </xf>
    <xf numFmtId="3" fontId="12" fillId="3" borderId="2" applyAlignment="1" pivotButton="0" quotePrefix="0" xfId="0">
      <alignment horizontal="right" vertical="center"/>
    </xf>
    <xf numFmtId="169" fontId="12" fillId="3" borderId="2" applyAlignment="1" pivotButton="0" quotePrefix="0" xfId="0">
      <alignment horizontal="right" vertical="center"/>
    </xf>
    <xf numFmtId="0" fontId="5" fillId="3" borderId="2" applyAlignment="1" pivotButton="0" quotePrefix="0" xfId="0">
      <alignment horizontal="left" vertical="center"/>
    </xf>
    <xf numFmtId="0" fontId="9" fillId="5" borderId="2" applyAlignment="1" pivotButton="0" quotePrefix="0" xfId="0">
      <alignment horizontal="left" vertical="center"/>
    </xf>
    <xf numFmtId="3" fontId="9" fillId="5" borderId="2" applyAlignment="1" pivotButton="0" quotePrefix="0" xfId="0">
      <alignment horizontal="right" vertical="center"/>
    </xf>
    <xf numFmtId="169" fontId="9" fillId="5" borderId="2" applyAlignment="1" pivotButton="0" quotePrefix="0" xfId="0">
      <alignment horizontal="right" vertical="center"/>
    </xf>
    <xf numFmtId="0" fontId="17" fillId="8" borderId="2" applyAlignment="1" pivotButton="0" quotePrefix="0" xfId="0">
      <alignment horizontal="left" vertical="center"/>
    </xf>
    <xf numFmtId="3" fontId="17" fillId="8" borderId="2" applyAlignment="1" pivotButton="0" quotePrefix="0" xfId="0">
      <alignment horizontal="right" vertical="center"/>
    </xf>
    <xf numFmtId="164" fontId="17" fillId="8" borderId="2" applyAlignment="1" pivotButton="0" quotePrefix="0" xfId="0">
      <alignment horizontal="right" vertical="center"/>
    </xf>
    <xf numFmtId="169" fontId="17" fillId="8" borderId="2" applyAlignment="1" pivotButton="0" quotePrefix="0" xfId="0">
      <alignment horizontal="right" vertical="center"/>
    </xf>
    <xf numFmtId="0" fontId="24" fillId="0" borderId="1" applyAlignment="1" pivotButton="0" quotePrefix="0" xfId="0">
      <alignment horizontal="center" vertical="center"/>
    </xf>
    <xf numFmtId="0" fontId="5" fillId="0" borderId="1" applyAlignment="1" pivotButton="0" quotePrefix="0" xfId="0">
      <alignment horizontal="left" vertical="center" wrapText="1"/>
    </xf>
    <xf numFmtId="0" fontId="13" fillId="13" borderId="1" applyAlignment="1" pivotButton="0" quotePrefix="0" xfId="0">
      <alignment horizontal="center" vertical="center"/>
    </xf>
    <xf numFmtId="0" fontId="18" fillId="11" borderId="1" applyAlignment="1" pivotButton="0" quotePrefix="0" xfId="0">
      <alignment horizontal="left" vertical="center" wrapText="1"/>
    </xf>
    <xf numFmtId="0" fontId="24" fillId="11" borderId="1" applyAlignment="1" pivotButton="0" quotePrefix="0" xfId="0">
      <alignment horizontal="center" vertical="center"/>
    </xf>
    <xf numFmtId="0" fontId="25" fillId="10" borderId="1" applyAlignment="1" pivotButton="0" quotePrefix="0" xfId="0">
      <alignment horizontal="left" vertical="center" wrapText="1"/>
    </xf>
    <xf numFmtId="164" fontId="12" fillId="0" borderId="1" applyAlignment="1" pivotButton="0" quotePrefix="0" xfId="0">
      <alignment horizontal="right" vertical="center"/>
    </xf>
    <xf numFmtId="164" fontId="26" fillId="13" borderId="1" applyAlignment="1" pivotButton="0" quotePrefix="0" xfId="0">
      <alignment horizontal="right" vertical="center"/>
    </xf>
    <xf numFmtId="0" fontId="0" fillId="0" borderId="1" applyAlignment="1" pivotButton="0" quotePrefix="0" xfId="0">
      <alignment horizontal="center" vertical="center"/>
    </xf>
    <xf numFmtId="170" fontId="22" fillId="11" borderId="1" applyAlignment="1" pivotButton="0" quotePrefix="0" xfId="0">
      <alignment horizontal="right" vertical="center"/>
    </xf>
    <xf numFmtId="174" fontId="11" fillId="0" borderId="1" applyAlignment="1" pivotButton="0" quotePrefix="0" xfId="0">
      <alignment horizontal="right" vertical="center"/>
    </xf>
    <xf numFmtId="175" fontId="15" fillId="9" borderId="1" applyAlignment="1" pivotButton="0" quotePrefix="0" xfId="0">
      <alignment horizontal="right" vertical="center"/>
    </xf>
    <xf numFmtId="176" fontId="11" fillId="0" borderId="1" applyAlignment="1" pivotButton="0" quotePrefix="0" xfId="0">
      <alignment horizontal="right" vertical="center"/>
    </xf>
    <xf numFmtId="175" fontId="12" fillId="0" borderId="1" applyAlignment="1" pivotButton="0" quotePrefix="0" xfId="0">
      <alignment horizontal="right" vertical="center"/>
    </xf>
    <xf numFmtId="0" fontId="12"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5"/>
  <sheetViews>
    <sheetView showGridLines="1" workbookViewId="0">
      <selection activeCell="A1" sqref="A1"/>
    </sheetView>
  </sheetViews>
  <sheetFormatPr baseColWidth="8" defaultRowHeight="15"/>
  <cols>
    <col width="22" customWidth="1" min="1" max="1"/>
    <col width="32" customWidth="1" min="2" max="2"/>
    <col width="40" customWidth="1" min="3" max="3"/>
    <col width="40" customWidth="1" min="4" max="4"/>
  </cols>
  <sheetData>
    <row r="1" ht="28" customHeight="1">
      <c r="A1" s="1" t="inlineStr">
        <is>
          <t>ZORLU ENERJİ ELEKTRİK ÜRETİM A.Ş. — DISTRESSED CREDIT ASSESSMENT &amp; RECOVERY MODEL</t>
        </is>
      </c>
    </row>
    <row r="2" ht="18" customHeight="1">
      <c r="A2" s="2" t="inlineStr">
        <is>
          <t>Distressed Credit Assessment, Debt Restructuring Waterfall, Recovery Modeling &amp; Conglomerate Contagion</t>
        </is>
      </c>
    </row>
    <row r="4" ht="18" customHeight="1">
      <c r="A4" s="3" t="inlineStr">
        <is>
          <t>Eurobond Price (XS2926261426)</t>
        </is>
      </c>
      <c r="B4" s="55" t="n"/>
      <c r="C4" s="3" t="inlineStr">
        <is>
          <t>Company Rep. USD EBITDA (FY25)</t>
        </is>
      </c>
      <c r="D4" s="55" t="n"/>
      <c r="E4" s="3" t="inlineStr">
        <is>
          <t>Gross / Net Financial Debt</t>
        </is>
      </c>
      <c r="F4" s="55" t="n"/>
      <c r="G4" s="3" t="inlineStr">
        <is>
          <t>Base Case Recovery Estimate</t>
        </is>
      </c>
      <c r="H4" s="55" t="n"/>
      <c r="I4" s="3" t="inlineStr">
        <is>
          <t>Advisers Appointed (Sep 2026)</t>
        </is>
      </c>
      <c r="J4" s="56" t="n"/>
      <c r="K4" s="55" t="n"/>
    </row>
    <row r="5" ht="24" customHeight="1">
      <c r="A5" s="5" t="inlineStr">
        <is>
          <t>63.50</t>
        </is>
      </c>
      <c r="B5" s="55" t="n"/>
      <c r="C5" s="6" t="inlineStr">
        <is>
          <t>$305.8M</t>
        </is>
      </c>
      <c r="D5" s="55" t="n"/>
      <c r="E5" s="7" t="inlineStr">
        <is>
          <t>$1,480M / $1,250M</t>
        </is>
      </c>
      <c r="F5" s="55" t="n"/>
      <c r="G5" s="8" t="inlineStr">
        <is>
          <t>66.2%</t>
        </is>
      </c>
      <c r="H5" s="55" t="n"/>
      <c r="I5" s="5" t="inlineStr">
        <is>
          <t>Houlihan &amp; Servo</t>
        </is>
      </c>
      <c r="J5" s="56" t="n"/>
      <c r="K5" s="55" t="n"/>
    </row>
    <row r="6" ht="18" customHeight="1">
      <c r="A6" s="9" t="inlineStr">
        <is>
          <t>Cents on Dollar (Yield ~27.2%)</t>
        </is>
      </c>
      <c r="B6" s="55" t="n"/>
      <c r="C6" s="9" t="inlineStr">
        <is>
          <t>Normalized Run-rate ~$260-280M</t>
        </is>
      </c>
      <c r="D6" s="55" t="n"/>
      <c r="E6" s="9" t="inlineStr">
        <is>
          <t>LTM Net Leverage ~4.7x</t>
        </is>
      </c>
      <c r="F6" s="55" t="n"/>
      <c r="G6" s="9" t="inlineStr">
        <is>
          <t>Value Range: 49.5% - 81.4%</t>
        </is>
      </c>
      <c r="H6" s="55" t="n"/>
      <c r="I6" s="9" t="inlineStr">
        <is>
          <t>Vestel Restructuring in Parallel</t>
        </is>
      </c>
      <c r="J6" s="56" t="n"/>
      <c r="K6" s="55" t="n"/>
    </row>
    <row r="8" ht="20" customHeight="1">
      <c r="A8" s="10" t="inlineStr">
        <is>
          <t>1. EXECUTIVE CREDIT THESIS &amp; SITUATION OVERVIEW</t>
        </is>
      </c>
    </row>
    <row r="9">
      <c r="A9" s="11" t="inlineStr">
        <is>
          <t>Metric / Event</t>
        </is>
      </c>
      <c r="B9" s="11" t="inlineStr">
        <is>
          <t>Current State / Observation</t>
        </is>
      </c>
      <c r="C9" s="11" t="inlineStr">
        <is>
          <t>Credit Impact &amp; Assessment</t>
        </is>
      </c>
      <c r="D9" s="11" t="inlineStr">
        <is>
          <t>Strategic / Valuation Implication</t>
        </is>
      </c>
    </row>
    <row r="10" ht="38" customHeight="1">
      <c r="A10" s="12" t="inlineStr">
        <is>
          <t>Eurobond Distress</t>
        </is>
      </c>
      <c r="B10" s="12" t="inlineStr">
        <is>
          <t>XS2926261426 (11% 2030) plunged from 75 to ~63 cents (YTM &gt;27%).</t>
        </is>
      </c>
      <c r="C10" s="12" t="inlineStr">
        <is>
          <t>Market pricing imminent restructuring / reprofiling. Annual coupon alone is $121M on $1.1B.</t>
        </is>
      </c>
      <c r="D10" s="12" t="inlineStr">
        <is>
          <t>Asymmetric upside if recovered at base case (66c); capital loss if prolonged DIP / haircut.</t>
        </is>
      </c>
    </row>
    <row r="11" ht="38" customHeight="1">
      <c r="A11" s="13" t="inlineStr">
        <is>
          <t>Advisers Appointed</t>
        </is>
      </c>
      <c r="B11" s="13" t="inlineStr">
        <is>
          <t>Houlihan Lokey &amp; Servo Capital hired in mid-Sep 2026. Mgmt canceled JPM London roadshow.</t>
        </is>
      </c>
      <c r="C11" s="13" t="inlineStr">
        <is>
          <t>Formal signal of comprehensive liability management. Unsecured bondholders face maturity push / haircut.</t>
        </is>
      </c>
      <c r="D11" s="13" t="inlineStr">
        <is>
          <t>Credibility reached all-time low with sudden conference cancellation.</t>
        </is>
      </c>
    </row>
    <row r="12" ht="38" customHeight="1">
      <c r="A12" s="12" t="inlineStr">
        <is>
          <t>ADB Loan (Aug 2026)</t>
        </is>
      </c>
      <c r="B12" s="12" t="inlineStr">
        <is>
          <t>TRY 3,979.76M (~$115M) approved for OEDAŞ distribution grid upgrade.</t>
        </is>
      </c>
      <c r="C12" s="12" t="inlineStr">
        <is>
          <t>Concessional local-currency DFI funding rings fences grid, but sits at OpCo level (structural subordination).</t>
        </is>
      </c>
      <c r="D12" s="12" t="inlineStr">
        <is>
          <t>Protects utility asset value but absorbs OpCo cash flows ahead of HoldCo Eurobonds.</t>
        </is>
      </c>
    </row>
    <row r="13" ht="38" customHeight="1">
      <c r="A13" s="13" t="inlineStr">
        <is>
          <t>Group Contagion</t>
        </is>
      </c>
      <c r="B13" s="13" t="inlineStr">
        <is>
          <t>Parent Zorlu Holding restructuring $3.2B-$4.9B; Vestel hired Houlihan in July 2026.</t>
        </is>
      </c>
      <c r="C13" s="13" t="inlineStr">
        <is>
          <t>Severe conglomerate liquidity squeeze. Turkish banks hit single-group exposure limits; share pledge risks.</t>
        </is>
      </c>
      <c r="D13" s="13" t="inlineStr">
        <is>
          <t>Zorlu Enerji cannot rely on parent support; potential risk of upstream cash leakage to parent.</t>
        </is>
      </c>
    </row>
    <row r="14" ht="38" customHeight="1">
      <c r="A14" s="12" t="inlineStr">
        <is>
          <t>EBITDA Distortion</t>
        </is>
      </c>
      <c r="B14" s="12" t="inlineStr">
        <is>
          <t>Reported TRY EBITDA 13,094M vs Mgmt USD EBITDA $305.8M. Inflation accounting (TMS 29) masks cash.</t>
        </is>
      </c>
      <c r="C14" s="12" t="inlineStr">
        <is>
          <t>Depreciation revaluation and monetary gain/loss distort IFRS net income. Cash interest eats &gt;60% of EBITDA.</t>
        </is>
      </c>
      <c r="D14" s="12" t="inlineStr">
        <is>
          <t>True credit analysis must rely on USD operational cash flow, not TMS 29 TRY net income.</t>
        </is>
      </c>
    </row>
    <row r="15" ht="38" customHeight="1">
      <c r="A15" s="13" t="inlineStr">
        <is>
          <t>Recovery Floor</t>
        </is>
      </c>
      <c r="B15" s="13" t="inlineStr">
        <is>
          <t>Regulated RAB (OEDAŞ) + 990 MW renewable fleet (Geothermal/Hydro) hold solid intrinsic value.</t>
        </is>
      </c>
      <c r="C15" s="13" t="inlineStr">
        <is>
          <t>Sum-of-the-parts EV estimated at $1.35B-$1.50B. Senior OpCo debt ($330M) covered 100%.</t>
        </is>
      </c>
      <c r="D15" s="13" t="inlineStr">
        <is>
          <t>Unsecured Eurobond coverage waterfall provides a recovery floor of 50-68 cents.</t>
        </is>
      </c>
    </row>
  </sheetData>
  <mergeCells count="18">
    <mergeCell ref="A4:B4"/>
    <mergeCell ref="G4:H4"/>
    <mergeCell ref="E4:F4"/>
    <mergeCell ref="E6:F6"/>
    <mergeCell ref="C6:D6"/>
    <mergeCell ref="I6:K6"/>
    <mergeCell ref="I5:K5"/>
    <mergeCell ref="C5:D5"/>
    <mergeCell ref="A5:B5"/>
    <mergeCell ref="A2:K2"/>
    <mergeCell ref="E5:F5"/>
    <mergeCell ref="G5:H5"/>
    <mergeCell ref="A8:K8"/>
    <mergeCell ref="G6:H6"/>
    <mergeCell ref="I4:K4"/>
    <mergeCell ref="A1:K1"/>
    <mergeCell ref="A6:B6"/>
    <mergeCell ref="C4:D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39"/>
  <sheetViews>
    <sheetView showGridLines="1" workbookViewId="0">
      <selection activeCell="A1" sqref="A1"/>
    </sheetView>
  </sheetViews>
  <sheetFormatPr baseColWidth="8" defaultRowHeight="15"/>
  <cols>
    <col width="34" customWidth="1" min="1" max="1"/>
    <col width="25" customWidth="1" min="2" max="2"/>
    <col width="26"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36" customWidth="1" min="11" max="11"/>
  </cols>
  <sheetData>
    <row r="1" ht="28" customHeight="1">
      <c r="A1" s="1" t="inlineStr">
        <is>
          <t>ZORLU ENERJİ — EBITDA STRUCTURE: GENERATION (FEED-IN TARIFF VS MERCHANT) &amp; DISTRIBUTION</t>
        </is>
      </c>
    </row>
    <row r="2" ht="18" customHeight="1">
      <c r="A2" s="2" t="inlineStr">
        <is>
          <t>Structural Quality Analysis, Regulatory Asset Base (RAB) Protection, YEKDEM Roll-off Cliff &amp; FX Mismatch Profile</t>
        </is>
      </c>
    </row>
    <row r="4" ht="20" customHeight="1">
      <c r="A4" s="10" t="inlineStr">
        <is>
          <t>1. HISTORICAL &amp; PROJECTED EBITDA BY REGULATORY MECHANISM (US$ MILLIONS)</t>
        </is>
      </c>
    </row>
    <row r="5" ht="24" customHeight="1">
      <c r="A5" s="11" t="inlineStr">
        <is>
          <t>EBITDA Segment / Asset Cluster</t>
        </is>
      </c>
      <c r="B5" s="11" t="inlineStr">
        <is>
          <t>Regulatory / Commercial Structure</t>
        </is>
      </c>
      <c r="C5" s="11" t="inlineStr">
        <is>
          <t>Pricing Mechanism / Tariff</t>
        </is>
      </c>
      <c r="D5" s="11" t="inlineStr">
        <is>
          <t>2022A</t>
        </is>
      </c>
      <c r="E5" s="11" t="inlineStr">
        <is>
          <t>2023A</t>
        </is>
      </c>
      <c r="F5" s="11" t="inlineStr">
        <is>
          <t>2024A</t>
        </is>
      </c>
      <c r="G5" s="11" t="inlineStr">
        <is>
          <t>2025A</t>
        </is>
      </c>
      <c r="H5" s="11" t="inlineStr">
        <is>
          <t>2026E</t>
        </is>
      </c>
      <c r="I5" s="11" t="inlineStr">
        <is>
          <t>2027E</t>
        </is>
      </c>
      <c r="J5" s="11" t="inlineStr">
        <is>
          <t>2028E</t>
        </is>
      </c>
      <c r="K5" s="11" t="inlineStr">
        <is>
          <t>Quality &amp; Cash Profile</t>
        </is>
      </c>
    </row>
    <row r="6" ht="20" customHeight="1">
      <c r="A6" s="10" t="inlineStr">
        <is>
          <t>A. REGULATED DISTRIBUTION &amp; RETAIL (OEDAŞ / OEPSAŞ)</t>
        </is>
      </c>
    </row>
    <row r="7" ht="20" customHeight="1">
      <c r="A7" s="15" t="inlineStr">
        <is>
          <t>OEDAŞ Electricity Distribution</t>
        </is>
      </c>
      <c r="B7" s="40" t="inlineStr">
        <is>
          <t>100% EPDK Regulated Monopoly</t>
        </is>
      </c>
      <c r="C7" s="40" t="inlineStr">
        <is>
          <t>RAB WACC (~13% real) + CPI indexation</t>
        </is>
      </c>
      <c r="D7" s="16" t="n">
        <v>130</v>
      </c>
      <c r="E7" s="16" t="n">
        <v>138</v>
      </c>
      <c r="F7" s="16" t="n">
        <v>150</v>
      </c>
      <c r="G7" s="16" t="n">
        <v>153.5</v>
      </c>
      <c r="H7" s="16" t="n">
        <v>142</v>
      </c>
      <c r="I7" s="16" t="n">
        <v>151</v>
      </c>
      <c r="J7" s="16" t="n">
        <v>160</v>
      </c>
      <c r="K7" s="40" t="inlineStr">
        <is>
          <t>High quality, inflation-indexed; sits at OpCo level</t>
        </is>
      </c>
    </row>
    <row r="8" ht="20" customHeight="1">
      <c r="A8" s="15" t="inlineStr">
        <is>
          <t>OEPSAŞ Electricity Retail Sales</t>
        </is>
      </c>
      <c r="B8" s="40" t="inlineStr">
        <is>
          <t>EPDK Regulated Margin + Commercial</t>
        </is>
      </c>
      <c r="C8" s="40" t="inlineStr">
        <is>
          <t>2.38% gross regulated retail margin</t>
        </is>
      </c>
      <c r="D8" s="16" t="n">
        <v>15</v>
      </c>
      <c r="E8" s="16" t="n">
        <v>17</v>
      </c>
      <c r="F8" s="16" t="n">
        <v>18</v>
      </c>
      <c r="G8" s="16" t="n">
        <v>19</v>
      </c>
      <c r="H8" s="16" t="n">
        <v>18</v>
      </c>
      <c r="I8" s="16" t="n">
        <v>19</v>
      </c>
      <c r="J8" s="16" t="n">
        <v>20</v>
      </c>
      <c r="K8" s="40" t="inlineStr">
        <is>
          <t>Stable retail customer margin in 5 provinces</t>
        </is>
      </c>
    </row>
    <row r="9" ht="20" customHeight="1">
      <c r="A9" s="57" t="inlineStr">
        <is>
          <t>Subtotal: Regulated Distribution &amp; Retail</t>
        </is>
      </c>
      <c r="B9" s="57" t="inlineStr">
        <is>
          <t>Regulated / Quasi-Sovereign</t>
        </is>
      </c>
      <c r="C9" s="57" t="inlineStr">
        <is>
          <t>Guaranteed Tariff Basket</t>
        </is>
      </c>
      <c r="D9" s="18">
        <f>SUM(D7:D8)</f>
        <v/>
      </c>
      <c r="E9" s="18">
        <f>SUM(E7:E8)</f>
        <v/>
      </c>
      <c r="F9" s="18">
        <f>SUM(F7:F8)</f>
        <v/>
      </c>
      <c r="G9" s="18">
        <f>SUM(G7:G8)</f>
        <v/>
      </c>
      <c r="H9" s="18">
        <f>SUM(H7:H8)</f>
        <v/>
      </c>
      <c r="I9" s="18">
        <f>SUM(I7:I8)</f>
        <v/>
      </c>
      <c r="J9" s="18">
        <f>SUM(J7:J8)</f>
        <v/>
      </c>
      <c r="K9" s="40" t="inlineStr">
        <is>
          <t>Constitutes ~55-60% of group EBITDA; OpCo ring-fenced</t>
        </is>
      </c>
    </row>
    <row r="10" ht="20" customHeight="1">
      <c r="A10" s="10" t="inlineStr">
        <is>
          <t>B. GENERATION BUSINESS — FEED-IN TARIFF (YEKDEM / CONTRACTED)</t>
        </is>
      </c>
    </row>
    <row r="11" ht="20" customHeight="1">
      <c r="A11" s="15" t="inlineStr">
        <is>
          <t>Kızıldere 3 Geothermal (165 MW)</t>
        </is>
      </c>
      <c r="B11" s="40" t="inlineStr">
        <is>
          <t>Contracted YEKDEM (thru 31-Dec-2027)</t>
        </is>
      </c>
      <c r="C11" s="40" t="inlineStr">
        <is>
          <t>Fixed USD: $105/MWh base + $15 domestic bonus</t>
        </is>
      </c>
      <c r="D11" s="58" t="n">
        <v>68</v>
      </c>
      <c r="E11" s="58" t="n">
        <v>64</v>
      </c>
      <c r="F11" s="58" t="n">
        <v>72</v>
      </c>
      <c r="G11" s="58" t="n">
        <v>65</v>
      </c>
      <c r="H11" s="58" t="n">
        <v>58</v>
      </c>
      <c r="I11" s="58" t="n">
        <v>60</v>
      </c>
      <c r="J11" s="58" t="n">
        <v>18</v>
      </c>
      <c r="K11" s="40" t="inlineStr">
        <is>
          <t>Cash cow; cliff in 2028 when YEKDEM expires to spot PTF!</t>
        </is>
      </c>
    </row>
    <row r="12" ht="20" customHeight="1">
      <c r="A12" s="15" t="inlineStr">
        <is>
          <t>Alaşehir 1 Geothermal (45 MW)</t>
        </is>
      </c>
      <c r="B12" s="40" t="inlineStr">
        <is>
          <t>Contracted YEKDEM (thru 31-Dec-2025)</t>
        </is>
      </c>
      <c r="C12" s="40" t="inlineStr">
        <is>
          <t>Fixed USD: $105/MWh (rolled off Dec-2025)</t>
        </is>
      </c>
      <c r="D12" s="59" t="n">
        <v>22</v>
      </c>
      <c r="E12" s="59" t="n">
        <v>20</v>
      </c>
      <c r="F12" s="59" t="n">
        <v>23</v>
      </c>
      <c r="G12" s="59" t="n">
        <v>19</v>
      </c>
      <c r="H12" s="59" t="n">
        <v>0</v>
      </c>
      <c r="I12" s="59" t="n">
        <v>0</v>
      </c>
      <c r="J12" s="59" t="n">
        <v>0</v>
      </c>
      <c r="K12" s="40" t="inlineStr">
        <is>
          <t>Rolled off YEKDEM in 2026; now in merchant bucket below</t>
        </is>
      </c>
    </row>
    <row r="13" ht="20" customHeight="1">
      <c r="A13" s="15" t="inlineStr">
        <is>
          <t>Pakistan Wind (ZEPL 56.4 MW)</t>
        </is>
      </c>
      <c r="B13" s="40" t="inlineStr">
        <is>
          <t>Contracted 20-Yr Sovereign PPA</t>
        </is>
      </c>
      <c r="C13" s="40" t="inlineStr">
        <is>
          <t>Fixed USD-indexed PPA with CPPA-G</t>
        </is>
      </c>
      <c r="D13" s="16" t="n">
        <v>12</v>
      </c>
      <c r="E13" s="16" t="n">
        <v>11</v>
      </c>
      <c r="F13" s="16" t="n">
        <v>13</v>
      </c>
      <c r="G13" s="16" t="n">
        <v>11.5</v>
      </c>
      <c r="H13" s="16" t="n">
        <v>10</v>
      </c>
      <c r="I13" s="16" t="n">
        <v>10.5</v>
      </c>
      <c r="J13" s="16" t="n">
        <v>11</v>
      </c>
      <c r="K13" s="40" t="inlineStr">
        <is>
          <t>Hard-currency PPA, but Pakistani circular debt / FX delays</t>
        </is>
      </c>
    </row>
    <row r="14" ht="20" customHeight="1">
      <c r="A14" s="15" t="inlineStr">
        <is>
          <t>Hydro &amp; Hybrid YEKDEM Facilities</t>
        </is>
      </c>
      <c r="B14" s="40" t="inlineStr">
        <is>
          <t>Contracted YEKDEM (Residual)</t>
        </is>
      </c>
      <c r="C14" s="40" t="inlineStr">
        <is>
          <t>USD $73/MWh (Hydro) &amp; Solar Hybrid</t>
        </is>
      </c>
      <c r="D14" s="16" t="n">
        <v>8</v>
      </c>
      <c r="E14" s="16" t="n">
        <v>7</v>
      </c>
      <c r="F14" s="16" t="n">
        <v>9</v>
      </c>
      <c r="G14" s="16" t="n">
        <v>6.5</v>
      </c>
      <c r="H14" s="16" t="n">
        <v>5</v>
      </c>
      <c r="I14" s="16" t="n">
        <v>4.5</v>
      </c>
      <c r="J14" s="16" t="n">
        <v>4</v>
      </c>
      <c r="K14" s="40" t="inlineStr">
        <is>
          <t>Minor run-of-river hydro plants with remaining YEKDEM</t>
        </is>
      </c>
    </row>
    <row r="15" ht="20" customHeight="1">
      <c r="A15" s="57" t="inlineStr">
        <is>
          <t>Subtotal: Feed-in Tariff / Contracted Generation</t>
        </is>
      </c>
      <c r="B15" s="57" t="inlineStr">
        <is>
          <t>Hard USD Contracted / Must-Run</t>
        </is>
      </c>
      <c r="C15" s="57" t="inlineStr">
        <is>
          <t>Zero Off-take Risk (EPİAŞ Pool)</t>
        </is>
      </c>
      <c r="D15" s="18">
        <f>SUM(D11:D14)</f>
        <v/>
      </c>
      <c r="E15" s="18">
        <f>SUM(E11:E14)</f>
        <v/>
      </c>
      <c r="F15" s="18">
        <f>SUM(F11:F14)</f>
        <v/>
      </c>
      <c r="G15" s="18">
        <f>SUM(G11:G14)</f>
        <v/>
      </c>
      <c r="H15" s="18">
        <f>SUM(H11:H14)</f>
        <v/>
      </c>
      <c r="I15" s="18">
        <f>SUM(I11:I14)</f>
        <v/>
      </c>
      <c r="J15" s="18">
        <f>SUM(J11:J14)</f>
        <v/>
      </c>
      <c r="K15" s="40" t="inlineStr">
        <is>
          <t>Hard currency revenue; high margin (~80%); 2028 cliff</t>
        </is>
      </c>
    </row>
    <row r="16" ht="20" customHeight="1">
      <c r="A16" s="10" t="inlineStr">
        <is>
          <t>C. GENERATION BUSINESS — MERCHANT (SPOT PTF &amp; BILATERAL PPAs)</t>
        </is>
      </c>
    </row>
    <row r="17" ht="20" customHeight="1">
      <c r="A17" s="15" t="inlineStr">
        <is>
          <t>Kızıldere 1 &amp; 2 Geothermal (95 MW + Hybrid)</t>
        </is>
      </c>
      <c r="B17" s="40" t="inlineStr">
        <is>
          <t>Merchant Spot Market (PTF)</t>
        </is>
      </c>
      <c r="C17" s="40" t="inlineStr">
        <is>
          <t>EPİAŞ Day-Ahead Market Clearing Price</t>
        </is>
      </c>
      <c r="D17" s="16" t="n">
        <v>18</v>
      </c>
      <c r="E17" s="16" t="n">
        <v>22</v>
      </c>
      <c r="F17" s="16" t="n">
        <v>26</v>
      </c>
      <c r="G17" s="16" t="n">
        <v>20</v>
      </c>
      <c r="H17" s="16" t="n">
        <v>17</v>
      </c>
      <c r="I17" s="16" t="n">
        <v>22</v>
      </c>
      <c r="J17" s="16" t="n">
        <v>24</v>
      </c>
      <c r="K17" s="40" t="inlineStr">
        <is>
          <t>Exposed to Turkish power clearing price &amp; EPDK caps</t>
        </is>
      </c>
    </row>
    <row r="18" ht="20" customHeight="1">
      <c r="A18" s="15" t="inlineStr">
        <is>
          <t>Alaşehir 1 Geothermal (Post-YEKDEM 45 MW)</t>
        </is>
      </c>
      <c r="B18" s="40" t="inlineStr">
        <is>
          <t>Merchant Spot Market (from Jan-2026)</t>
        </is>
      </c>
      <c r="C18" s="40" t="inlineStr">
        <is>
          <t>EPİAŞ Day-Ahead Market Clearing Price</t>
        </is>
      </c>
      <c r="D18" s="16" t="n">
        <v>0</v>
      </c>
      <c r="E18" s="16" t="n">
        <v>0</v>
      </c>
      <c r="F18" s="16" t="n">
        <v>0</v>
      </c>
      <c r="G18" s="16" t="n">
        <v>0</v>
      </c>
      <c r="H18" s="16" t="n">
        <v>8</v>
      </c>
      <c r="I18" s="16" t="n">
        <v>11</v>
      </c>
      <c r="J18" s="16" t="n">
        <v>12</v>
      </c>
      <c r="K18" s="40" t="inlineStr">
        <is>
          <t>Transferred from YEKDEM in 2026; EBITDA dropped ~40%</t>
        </is>
      </c>
    </row>
    <row r="19" ht="20" customHeight="1">
      <c r="A19" s="15" t="inlineStr">
        <is>
          <t>Kızıldere 3 Geothermal (Post-YEKDEM 165 MW)</t>
        </is>
      </c>
      <c r="B19" s="40" t="inlineStr">
        <is>
          <t>Merchant Spot Market (from Jan-2028)</t>
        </is>
      </c>
      <c r="C19" s="40" t="inlineStr">
        <is>
          <t>EPİAŞ Day-Ahead Market Clearing Price</t>
        </is>
      </c>
      <c r="D19" s="60" t="n">
        <v>0</v>
      </c>
      <c r="E19" s="60" t="n">
        <v>0</v>
      </c>
      <c r="F19" s="60" t="n">
        <v>0</v>
      </c>
      <c r="G19" s="60" t="n">
        <v>0</v>
      </c>
      <c r="H19" s="60" t="n">
        <v>0</v>
      </c>
      <c r="I19" s="60" t="n">
        <v>0</v>
      </c>
      <c r="J19" s="60" t="n">
        <v>42</v>
      </c>
      <c r="K19" s="40" t="inlineStr">
        <is>
          <t>Major cliff in 2028: EBITDA drops from $60M to $42M</t>
        </is>
      </c>
    </row>
    <row r="20" ht="20" customHeight="1">
      <c r="A20" s="15" t="inlineStr">
        <is>
          <t>Gökçedağ Wind (135 MW) &amp; Merchant Hydro</t>
        </is>
      </c>
      <c r="B20" s="40" t="inlineStr">
        <is>
          <t>Merchant Wind/Hydro (PTF)</t>
        </is>
      </c>
      <c r="C20" s="40" t="inlineStr">
        <is>
          <t>EPİAŞ Spot + Bilateral Industrial PPAs</t>
        </is>
      </c>
      <c r="D20" s="16" t="n">
        <v>14</v>
      </c>
      <c r="E20" s="16" t="n">
        <v>15</v>
      </c>
      <c r="F20" s="16" t="n">
        <v>19</v>
      </c>
      <c r="G20" s="16" t="n">
        <v>10</v>
      </c>
      <c r="H20" s="16" t="n">
        <v>7</v>
      </c>
      <c r="I20" s="16" t="n">
        <v>8</v>
      </c>
      <c r="J20" s="16" t="n">
        <v>8</v>
      </c>
      <c r="K20" s="40" t="inlineStr">
        <is>
          <t>Volatile hydrology &amp; wind; Gökçedağ stake sale process</t>
        </is>
      </c>
    </row>
    <row r="21" ht="20" customHeight="1">
      <c r="A21" s="57" t="inlineStr">
        <is>
          <t>Subtotal: Merchant Generation</t>
        </is>
      </c>
      <c r="B21" s="57" t="inlineStr">
        <is>
          <t>Exposed to Spot Power Prices</t>
        </is>
      </c>
      <c r="C21" s="57" t="inlineStr">
        <is>
          <t>Market Clearing Price (TRY converted to USD)</t>
        </is>
      </c>
      <c r="D21" s="18">
        <f>SUM(D17:D20)</f>
        <v/>
      </c>
      <c r="E21" s="18">
        <f>SUM(E17:E20)</f>
        <v/>
      </c>
      <c r="F21" s="18">
        <f>SUM(F17:F20)</f>
        <v/>
      </c>
      <c r="G21" s="18">
        <f>SUM(G17:G20)</f>
        <v/>
      </c>
      <c r="H21" s="18">
        <f>SUM(H17:H20)</f>
        <v/>
      </c>
      <c r="I21" s="18">
        <f>SUM(I17:I20)</f>
        <v/>
      </c>
      <c r="J21" s="18">
        <f>SUM(J17:J20)</f>
        <v/>
      </c>
      <c r="K21" s="40" t="inlineStr">
        <is>
          <t>Volatile cash flows; subject to fuel, hydrology &amp; price caps</t>
        </is>
      </c>
    </row>
    <row r="22" ht="20" customHeight="1">
      <c r="A22" s="10" t="inlineStr">
        <is>
          <t>D. UNREGULATED / NEW TECH (EV CHARGING &amp; TRADING)</t>
        </is>
      </c>
    </row>
    <row r="23" ht="20" customHeight="1">
      <c r="A23" s="15" t="inlineStr">
        <is>
          <t>ZES (Zorlu Energy Solutions EV Network)</t>
        </is>
      </c>
      <c r="B23" s="40" t="inlineStr">
        <is>
          <t>Commercial EV Charging Stations</t>
        </is>
      </c>
      <c r="C23" s="40" t="inlineStr">
        <is>
          <t>Per kWh EV Charging Tariffs (Turkey/EU)</t>
        </is>
      </c>
      <c r="D23" s="16" t="n">
        <v>15</v>
      </c>
      <c r="E23" s="16" t="n">
        <v>12</v>
      </c>
      <c r="F23" s="16" t="n">
        <v>45</v>
      </c>
      <c r="G23" s="16" t="n">
        <v>14.3</v>
      </c>
      <c r="H23" s="16" t="n">
        <v>5</v>
      </c>
      <c r="I23" s="16" t="n">
        <v>7</v>
      </c>
      <c r="J23" s="16" t="n">
        <v>10</v>
      </c>
      <c r="K23" s="40" t="inlineStr">
        <is>
          <t>Rapid network growth (4k+ sockets), but heavy capex burn</t>
        </is>
      </c>
    </row>
    <row r="24" ht="20" customHeight="1">
      <c r="A24" s="15" t="inlineStr">
        <is>
          <t>Electricity Trading &amp; Other Services</t>
        </is>
      </c>
      <c r="B24" s="40" t="inlineStr">
        <is>
          <t>Commercial Wholesale Trading</t>
        </is>
      </c>
      <c r="C24" s="40" t="inlineStr">
        <is>
          <t>Trading Spread &amp; EPC Contracts</t>
        </is>
      </c>
      <c r="D24" s="16" t="n">
        <v>20</v>
      </c>
      <c r="E24" s="16" t="n">
        <v>18</v>
      </c>
      <c r="F24" s="16" t="n">
        <v>20</v>
      </c>
      <c r="G24" s="16" t="n">
        <v>9</v>
      </c>
      <c r="H24" s="16" t="n">
        <v>5</v>
      </c>
      <c r="I24" s="16" t="n">
        <v>8</v>
      </c>
      <c r="J24" s="16" t="n">
        <v>10</v>
      </c>
      <c r="K24" s="40" t="inlineStr">
        <is>
          <t>Low-margin, working-capital intensive trading operations</t>
        </is>
      </c>
    </row>
    <row r="25" ht="20" customHeight="1">
      <c r="A25" s="57" t="inlineStr">
        <is>
          <t>Subtotal: Unregulated / EV Charging &amp; Other</t>
        </is>
      </c>
      <c r="B25" s="57" t="inlineStr">
        <is>
          <t>Commercial Market Risk</t>
        </is>
      </c>
      <c r="C25" s="57" t="inlineStr">
        <is>
          <t>Market Pricing</t>
        </is>
      </c>
      <c r="D25" s="18">
        <f>SUM(D23:D24)</f>
        <v/>
      </c>
      <c r="E25" s="18">
        <f>SUM(E23:E24)</f>
        <v/>
      </c>
      <c r="F25" s="18">
        <f>SUM(F23:F24)</f>
        <v/>
      </c>
      <c r="G25" s="18">
        <f>SUM(G23:G24)</f>
        <v/>
      </c>
      <c r="H25" s="18">
        <f>SUM(H23:H24)</f>
        <v/>
      </c>
      <c r="I25" s="18">
        <f>SUM(I23:I24)</f>
        <v/>
      </c>
      <c r="J25" s="18">
        <f>SUM(J23:J24)</f>
        <v/>
      </c>
      <c r="K25" s="40" t="inlineStr">
        <is>
          <t>Non-core utility activities; negative net free cash flow</t>
        </is>
      </c>
    </row>
    <row r="26" ht="20" customHeight="1">
      <c r="A26" s="61" t="inlineStr">
        <is>
          <t>TOTAL OPERATIONAL USD EBITDA</t>
        </is>
      </c>
      <c r="B26" s="62" t="inlineStr">
        <is>
          <t>Consolidated Group Basis</t>
        </is>
      </c>
      <c r="C26" s="62" t="inlineStr">
        <is>
          <t>Weighted Blended Tariff Structure</t>
        </is>
      </c>
      <c r="D26" s="63">
        <f>D9+D15+D21+D25</f>
        <v/>
      </c>
      <c r="E26" s="63">
        <f>E9+E15+E21+E25</f>
        <v/>
      </c>
      <c r="F26" s="63">
        <f>F9+F15+F21+F25</f>
        <v/>
      </c>
      <c r="G26" s="63">
        <f>G9+G15+G21+G25</f>
        <v/>
      </c>
      <c r="H26" s="63">
        <f>H9+H15+H21+H25</f>
        <v/>
      </c>
      <c r="I26" s="63">
        <f>I9+I15+I21+I25</f>
        <v/>
      </c>
      <c r="J26" s="63">
        <f>J9+J15+J21+J25</f>
        <v/>
      </c>
      <c r="K26" s="40" t="inlineStr">
        <is>
          <t>Reported operational EBITDA matching IR presentation decks</t>
        </is>
      </c>
    </row>
    <row r="28" ht="20" customHeight="1">
      <c r="A28" s="10" t="inlineStr">
        <is>
          <t>2. EBITDA CLASSIFICATION &amp; QUALITY MATRIX (CONTRACTED VS MERCHANT &amp; CURRENCY RISK)</t>
        </is>
      </c>
    </row>
    <row r="29" ht="22" customHeight="1">
      <c r="A29" s="11" t="inlineStr">
        <is>
          <t>EBITDA Category</t>
        </is>
      </c>
      <c r="B29" s="11" t="inlineStr">
        <is>
          <t>% of 2025 EBITDA</t>
        </is>
      </c>
      <c r="C29" s="11" t="inlineStr">
        <is>
          <t>Currency Base</t>
        </is>
      </c>
      <c r="D29" s="11" t="inlineStr">
        <is>
          <t>Volume / Demand Risk</t>
        </is>
      </c>
      <c r="E29" s="11" t="inlineStr">
        <is>
          <t>Price / Margin Risk</t>
        </is>
      </c>
      <c r="F29" s="11" t="inlineStr">
        <is>
          <t>Structural Subordination</t>
        </is>
      </c>
      <c r="G29" s="11" t="inlineStr">
        <is>
          <t>EV Valuation Multiple</t>
        </is>
      </c>
      <c r="H29" s="11" t="inlineStr">
        <is>
          <t>Credit Quality Assessment</t>
        </is>
      </c>
    </row>
    <row r="30" ht="24" customHeight="1">
      <c r="A30" s="17" t="inlineStr">
        <is>
          <t>1. Regulated Distribution (OEDAŞ)</t>
        </is>
      </c>
      <c r="B30" s="64" t="inlineStr">
        <is>
          <t>56.4%</t>
        </is>
      </c>
      <c r="C30" s="28" t="inlineStr">
        <is>
          <t>TRY (Inflation + FX linked RAB)</t>
        </is>
      </c>
      <c r="D30" s="28" t="inlineStr">
        <is>
          <t>Zero (Regulated Revenue Cap)</t>
        </is>
      </c>
      <c r="E30" s="28" t="inlineStr">
        <is>
          <t>Zero (EPDK 5-yr tariff cycle)</t>
        </is>
      </c>
      <c r="F30" s="15" t="inlineStr">
        <is>
          <t>Senior OpCo Level (Ring-fenced)</t>
        </is>
      </c>
      <c r="G30" s="65" t="inlineStr">
        <is>
          <t>6.0x - 7.0x EV/EBITDA</t>
        </is>
      </c>
      <c r="H30" s="15" t="inlineStr">
        <is>
          <t>Highest quality cash flow; protects senior DFI/ADB loans</t>
        </is>
      </c>
    </row>
    <row r="31" ht="24" customHeight="1">
      <c r="A31" s="17" t="inlineStr">
        <is>
          <t>2. Contracted YEKDEM Renewables</t>
        </is>
      </c>
      <c r="B31" s="64" t="inlineStr">
        <is>
          <t>26.9%</t>
        </is>
      </c>
      <c r="C31" s="28" t="inlineStr">
        <is>
          <t>Hard USD ($105-$120/MWh)</t>
        </is>
      </c>
      <c r="D31" s="28" t="inlineStr">
        <is>
          <t>Zero (Must-Run Priority)</t>
        </is>
      </c>
      <c r="E31" s="28" t="inlineStr">
        <is>
          <t>Zero (Fixed statutory feed-in)</t>
        </is>
      </c>
      <c r="F31" s="15" t="inlineStr">
        <is>
          <t>Mid-tier (SPV Project Debt)</t>
        </is>
      </c>
      <c r="G31" s="65" t="inlineStr">
        <is>
          <t>5.5x - 6.5x EV/EBITDA</t>
        </is>
      </c>
      <c r="H31" s="15" t="inlineStr">
        <is>
          <t>Dollar cash cow, but faces massive cliff post-2027</t>
        </is>
      </c>
    </row>
    <row r="32" ht="24" customHeight="1">
      <c r="A32" s="17" t="inlineStr">
        <is>
          <t>3. Merchant Generation (PTF)</t>
        </is>
      </c>
      <c r="B32" s="64" t="inlineStr">
        <is>
          <t>9.8%</t>
        </is>
      </c>
      <c r="C32" s="28" t="inlineStr">
        <is>
          <t>TRY Spot (PTF) converted to USD</t>
        </is>
      </c>
      <c r="D32" s="28" t="inlineStr">
        <is>
          <t>Low (Geothermal baseload dispatch)</t>
        </is>
      </c>
      <c r="E32" s="28" t="inlineStr">
        <is>
          <t>High (Spot power price &amp; caps)</t>
        </is>
      </c>
      <c r="F32" s="15" t="inlineStr">
        <is>
          <t>HoldCo Unsecured Exposure</t>
        </is>
      </c>
      <c r="G32" s="65" t="inlineStr">
        <is>
          <t>4.0x - 4.5x EV/EBITDA</t>
        </is>
      </c>
      <c r="H32" s="15" t="inlineStr">
        <is>
          <t>Volatile; squeezed by falling spot prices and inflation</t>
        </is>
      </c>
    </row>
    <row r="33" ht="24" customHeight="1">
      <c r="A33" s="17" t="inlineStr">
        <is>
          <t>4. Unregulated EV &amp; Trading (ZES)</t>
        </is>
      </c>
      <c r="B33" s="64" t="inlineStr">
        <is>
          <t>6.9%</t>
        </is>
      </c>
      <c r="C33" s="28" t="inlineStr">
        <is>
          <t>TRY / EUR commercial tariffs</t>
        </is>
      </c>
      <c r="D33" s="28" t="inlineStr">
        <is>
          <t>High (Utilization rate adoption)</t>
        </is>
      </c>
      <c r="E33" s="28" t="inlineStr">
        <is>
          <t>Moderate (Competition &amp; capex)</t>
        </is>
      </c>
      <c r="F33" s="15" t="inlineStr">
        <is>
          <t>HoldCo Unsecured Exposure</t>
        </is>
      </c>
      <c r="G33" s="65" t="inlineStr">
        <is>
          <t>3.0x - 4.0x EV/EBITDA</t>
        </is>
      </c>
      <c r="H33" s="15" t="inlineStr">
        <is>
          <t>High capex burn, zero free cash generation currently</t>
        </is>
      </c>
    </row>
    <row r="35">
      <c r="A35" s="54" t="inlineStr">
        <is>
          <t>KEY STRATEGIC TAKEAWAYS ON EBITDA STRUCTURE &amp; CREDIT PROFILE:
1. REGULATED UTILITY CORE (56.4% of EBITDA): OEDAŞ is an essential regional monopoly with a guaranteed regulatory asset base (RAB) return set by EPDK. However, because this EBITDA is generated at the operating subsidiary level, it is pledged to senior secured lenders and the recent TRY 3.98B (~$115M) ADB loan, structurally subordinating HoldCo Eurobond holders.
2. THE 2028 YEKDEM CLIFF (26.9% of EBITDA): Kızıldere 3 (165 MW) produces ~$60M-$65M of high-margin hard-USD EBITDA under the YEKDEM feed-in tariff ($105/MWh + domestic bonus). When its YEKDEM eligibility expires on December 31, 2027, its revenue will transition to merchant spot PTF (~$65-$75/MWh equivalent), cutting plant EBITDA by ~$20M-$25M per year right as the 2030 Eurobond approaches its maturity wall!
3. CASH MISMATCH &amp; HOLDCO STARVATION: While 83.3% of total EBITDA is regulated or quasi-contracted, less than $40M of operational EBITDA is directly earned at the HoldCo level where the $1.1B 11% Eurobond ($121M annual coupon) resides. HoldCo is entirely dependent on upstream dividend sweeps from OEDAŞ and project SPVs, which are legally restricted by OpCo debt covenants.</t>
        </is>
      </c>
      <c r="B35" s="66" t="n"/>
      <c r="C35" s="66" t="n"/>
      <c r="D35" s="66" t="n"/>
      <c r="E35" s="66" t="n"/>
      <c r="F35" s="66" t="n"/>
      <c r="G35" s="66" t="n"/>
      <c r="H35" s="66" t="n"/>
      <c r="I35" s="66" t="n"/>
      <c r="J35" s="66" t="n"/>
      <c r="K35" s="67" t="n"/>
    </row>
    <row r="36">
      <c r="A36" s="68" t="n"/>
      <c r="K36" s="69" t="n"/>
    </row>
    <row r="37">
      <c r="A37" s="68" t="n"/>
      <c r="K37" s="69" t="n"/>
    </row>
    <row r="38">
      <c r="A38" s="68" t="n"/>
      <c r="K38" s="69" t="n"/>
    </row>
    <row r="39">
      <c r="A39" s="70" t="n"/>
      <c r="B39" s="71" t="n"/>
      <c r="C39" s="71" t="n"/>
      <c r="D39" s="71" t="n"/>
      <c r="E39" s="71" t="n"/>
      <c r="F39" s="71" t="n"/>
      <c r="G39" s="71" t="n"/>
      <c r="H39" s="71" t="n"/>
      <c r="I39" s="71" t="n"/>
      <c r="J39" s="71" t="n"/>
      <c r="K39" s="72" t="n"/>
    </row>
  </sheetData>
  <mergeCells count="9">
    <mergeCell ref="A35:K39"/>
    <mergeCell ref="A6:K6"/>
    <mergeCell ref="A22:K22"/>
    <mergeCell ref="A4:K4"/>
    <mergeCell ref="A2:K2"/>
    <mergeCell ref="A16:K16"/>
    <mergeCell ref="A10:K10"/>
    <mergeCell ref="A28:K28"/>
    <mergeCell ref="A1:K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30"/>
  <sheetViews>
    <sheetView showGridLines="1" workbookViewId="0">
      <selection activeCell="A1" sqref="A1"/>
    </sheetView>
  </sheetViews>
  <sheetFormatPr baseColWidth="8" defaultRowHeight="15"/>
  <cols>
    <col width="38" customWidth="1" min="1" max="1"/>
    <col width="13" customWidth="1" min="2" max="2"/>
    <col width="13" customWidth="1" min="3" max="3"/>
    <col width="13" customWidth="1" min="4" max="4"/>
    <col width="13" customWidth="1" min="5" max="5"/>
    <col width="14" customWidth="1" min="6" max="6"/>
    <col width="13" customWidth="1" min="7" max="7"/>
    <col width="13" customWidth="1" min="8" max="8"/>
    <col width="13" customWidth="1" min="9" max="9"/>
  </cols>
  <sheetData>
    <row r="1" ht="28" customHeight="1">
      <c r="A1" s="1" t="inlineStr">
        <is>
          <t>ZORLU ENERJİ — HISTORICAL &amp; PROJECTED FINANCIAL SUMMARY (USD MILLIONS)</t>
        </is>
      </c>
    </row>
    <row r="3">
      <c r="A3" s="14" t="inlineStr">
        <is>
          <t>Line Item (US$ Millions unless stated)</t>
        </is>
      </c>
      <c r="B3" s="11" t="inlineStr">
        <is>
          <t>2022A</t>
        </is>
      </c>
      <c r="C3" s="11" t="inlineStr">
        <is>
          <t>2023A</t>
        </is>
      </c>
      <c r="D3" s="11" t="inlineStr">
        <is>
          <t>2024A</t>
        </is>
      </c>
      <c r="E3" s="11" t="inlineStr">
        <is>
          <t>2025A</t>
        </is>
      </c>
      <c r="F3" s="11" t="inlineStr">
        <is>
          <t>1H 2026A</t>
        </is>
      </c>
      <c r="G3" s="11" t="inlineStr">
        <is>
          <t>2026E</t>
        </is>
      </c>
      <c r="H3" s="11" t="inlineStr">
        <is>
          <t>2027E</t>
        </is>
      </c>
      <c r="I3" s="11" t="inlineStr">
        <is>
          <t>2028E</t>
        </is>
      </c>
    </row>
    <row r="4" ht="19" customHeight="1">
      <c r="A4" s="10" t="inlineStr">
        <is>
          <t>COMPANY REPORTED OPERATIONAL USD PERFORMANCE</t>
        </is>
      </c>
    </row>
    <row r="5" ht="19" customHeight="1">
      <c r="A5" s="15" t="inlineStr">
        <is>
          <t>Distribution &amp; Retail EBITDA (OEDAŞ / OEPSAŞ)</t>
        </is>
      </c>
      <c r="B5" s="16" t="n">
        <v>145</v>
      </c>
      <c r="C5" s="16" t="n">
        <v>155</v>
      </c>
      <c r="D5" s="16" t="n">
        <v>168</v>
      </c>
      <c r="E5" s="16" t="n">
        <v>172.5</v>
      </c>
      <c r="F5" s="16" t="n">
        <v>82</v>
      </c>
      <c r="G5" s="16" t="n">
        <v>160</v>
      </c>
      <c r="H5" s="16" t="n">
        <v>170</v>
      </c>
      <c r="I5" s="16" t="n">
        <v>180</v>
      </c>
    </row>
    <row r="6" ht="19" customHeight="1">
      <c r="A6" s="15" t="inlineStr">
        <is>
          <t>Renewable Generation EBITDA (Geothermal/Hydro/Wind)</t>
        </is>
      </c>
      <c r="B6" s="16" t="n">
        <v>120</v>
      </c>
      <c r="C6" s="16" t="n">
        <v>115</v>
      </c>
      <c r="D6" s="16" t="n">
        <v>140</v>
      </c>
      <c r="E6" s="16" t="n">
        <v>110</v>
      </c>
      <c r="F6" s="16" t="n">
        <v>48</v>
      </c>
      <c r="G6" s="16" t="n">
        <v>95</v>
      </c>
      <c r="H6" s="16" t="n">
        <v>105</v>
      </c>
      <c r="I6" s="16" t="n">
        <v>115</v>
      </c>
    </row>
    <row r="7" ht="19" customHeight="1">
      <c r="A7" s="15" t="inlineStr">
        <is>
          <t>Other / EV Charging (ZES) &amp; International</t>
        </is>
      </c>
      <c r="B7" s="16" t="n">
        <v>35</v>
      </c>
      <c r="C7" s="16" t="n">
        <v>30</v>
      </c>
      <c r="D7" s="16" t="n">
        <v>65</v>
      </c>
      <c r="E7" s="16" t="n">
        <v>23.3</v>
      </c>
      <c r="F7" s="16" t="n">
        <v>10</v>
      </c>
      <c r="G7" s="16" t="n">
        <v>10</v>
      </c>
      <c r="H7" s="16" t="n">
        <v>15</v>
      </c>
      <c r="I7" s="16" t="n">
        <v>20</v>
      </c>
    </row>
    <row r="8" ht="19" customHeight="1">
      <c r="A8" s="17" t="inlineStr">
        <is>
          <t>Total Company Reported USD EBITDA</t>
        </is>
      </c>
      <c r="B8" s="18">
        <f>SUM(B5:B7)</f>
        <v/>
      </c>
      <c r="C8" s="18">
        <f>SUM(C5:C7)</f>
        <v/>
      </c>
      <c r="D8" s="18">
        <f>SUM(D5:D7)</f>
        <v/>
      </c>
      <c r="E8" s="18">
        <f>SUM(E5:E7)</f>
        <v/>
      </c>
      <c r="F8" s="18">
        <f>SUM(F5:F7)</f>
        <v/>
      </c>
      <c r="G8" s="18">
        <f>SUM(G5:G7)</f>
        <v/>
      </c>
      <c r="H8" s="18">
        <f>SUM(H5:H7)</f>
        <v/>
      </c>
      <c r="I8" s="18">
        <f>SUM(I5:I7)</f>
        <v/>
      </c>
    </row>
    <row r="9" ht="19" customHeight="1">
      <c r="A9" s="15" t="inlineStr">
        <is>
          <t>Management Credibility Haircut (Applied by Credit Model)</t>
        </is>
      </c>
      <c r="B9" s="19" t="n">
        <v>0</v>
      </c>
      <c r="C9" s="19" t="n">
        <v>0</v>
      </c>
      <c r="D9" s="19" t="n">
        <v>0</v>
      </c>
      <c r="E9" s="19" t="n">
        <v>0</v>
      </c>
      <c r="F9" s="19" t="n">
        <v>0</v>
      </c>
      <c r="G9" s="19" t="n">
        <v>-0.15</v>
      </c>
      <c r="H9" s="19" t="n">
        <v>-0.15</v>
      </c>
      <c r="I9" s="19" t="n">
        <v>-0.15</v>
      </c>
    </row>
    <row r="10" ht="19" customHeight="1">
      <c r="A10" s="17" t="inlineStr">
        <is>
          <t>Adjusted Operational USD EBITDA (Underwriter Basis)</t>
        </is>
      </c>
      <c r="B10" s="20">
        <f>B8*(1+B9)</f>
        <v/>
      </c>
      <c r="C10" s="20">
        <f>C8*(1+C9)</f>
        <v/>
      </c>
      <c r="D10" s="20">
        <f>D8*(1+D9)</f>
        <v/>
      </c>
      <c r="E10" s="20">
        <f>E8*(1+E9)</f>
        <v/>
      </c>
      <c r="F10" s="20">
        <f>F8</f>
        <v/>
      </c>
      <c r="G10" s="20">
        <f>G8*(1+G9)</f>
        <v/>
      </c>
      <c r="H10" s="20">
        <f>H8*(1+H9)</f>
        <v/>
      </c>
      <c r="I10" s="20">
        <f>I8*(1+I9)</f>
        <v/>
      </c>
    </row>
    <row r="11" ht="19" customHeight="1">
      <c r="A11" s="10" t="inlineStr">
        <is>
          <t>CASH FLOW WATERFALL &amp; DEBT SERVICE</t>
        </is>
      </c>
    </row>
    <row r="12" ht="19" customHeight="1">
      <c r="A12" s="15" t="inlineStr">
        <is>
          <t>Adjusted Operational EBITDA</t>
        </is>
      </c>
      <c r="B12" s="16">
        <f>B10</f>
        <v/>
      </c>
      <c r="C12" s="16">
        <f>C10</f>
        <v/>
      </c>
      <c r="D12" s="16">
        <f>D10</f>
        <v/>
      </c>
      <c r="E12" s="16">
        <f>E10</f>
        <v/>
      </c>
      <c r="F12" s="16">
        <f>F10*2</f>
        <v/>
      </c>
      <c r="G12" s="16">
        <f>G10</f>
        <v/>
      </c>
      <c r="H12" s="16">
        <f>H10</f>
        <v/>
      </c>
      <c r="I12" s="16">
        <f>I10</f>
        <v/>
      </c>
    </row>
    <row r="13" ht="19" customHeight="1">
      <c r="A13" s="15" t="inlineStr">
        <is>
          <t>Maintenance &amp; Regulatory Capex</t>
        </is>
      </c>
      <c r="B13" s="21" t="n">
        <v>-95</v>
      </c>
      <c r="C13" s="21" t="n">
        <v>-110</v>
      </c>
      <c r="D13" s="21" t="n">
        <v>-135</v>
      </c>
      <c r="E13" s="21" t="n">
        <v>-115</v>
      </c>
      <c r="F13" s="21" t="n">
        <v>-55</v>
      </c>
      <c r="G13" s="21" t="n">
        <v>-110</v>
      </c>
      <c r="H13" s="21" t="n">
        <v>-100</v>
      </c>
      <c r="I13" s="21" t="n">
        <v>-95</v>
      </c>
    </row>
    <row r="14" ht="19" customHeight="1">
      <c r="A14" s="15" t="inlineStr">
        <is>
          <t>Cash Taxes &amp; Working Capital Change</t>
        </is>
      </c>
      <c r="B14" s="21" t="n">
        <v>-20</v>
      </c>
      <c r="C14" s="21" t="n">
        <v>-18</v>
      </c>
      <c r="D14" s="21" t="n">
        <v>-25</v>
      </c>
      <c r="E14" s="21" t="n">
        <v>-15</v>
      </c>
      <c r="F14" s="21" t="n">
        <v>-8</v>
      </c>
      <c r="G14" s="21" t="n">
        <v>-12</v>
      </c>
      <c r="H14" s="21" t="n">
        <v>-15</v>
      </c>
      <c r="I14" s="21" t="n">
        <v>-18</v>
      </c>
    </row>
    <row r="15" ht="19" customHeight="1">
      <c r="A15" s="17" t="inlineStr">
        <is>
          <t>Operating Free Cash Flow before Interest</t>
        </is>
      </c>
      <c r="B15" s="18">
        <f>SUM(B12:B14)</f>
        <v/>
      </c>
      <c r="C15" s="18">
        <f>SUM(C12:C14)</f>
        <v/>
      </c>
      <c r="D15" s="18">
        <f>SUM(D12:D14)</f>
        <v/>
      </c>
      <c r="E15" s="18">
        <f>SUM(E12:E14)</f>
        <v/>
      </c>
      <c r="F15" s="18">
        <f>SUM(F12:F14)</f>
        <v/>
      </c>
      <c r="G15" s="18">
        <f>SUM(G12:G14)</f>
        <v/>
      </c>
      <c r="H15" s="18">
        <f>SUM(H12:H14)</f>
        <v/>
      </c>
      <c r="I15" s="18">
        <f>SUM(I12:I14)</f>
        <v/>
      </c>
    </row>
    <row r="16" ht="19" customHeight="1">
      <c r="A16" s="15" t="inlineStr">
        <is>
          <t>Net Cash Interest Expense (Eurobond $121M + Bank debt)</t>
        </is>
      </c>
      <c r="B16" s="21" t="n">
        <v>-145</v>
      </c>
      <c r="C16" s="21" t="n">
        <v>-160</v>
      </c>
      <c r="D16" s="21" t="n">
        <v>-175</v>
      </c>
      <c r="E16" s="21" t="n">
        <v>-188</v>
      </c>
      <c r="F16" s="21" t="n">
        <v>-92</v>
      </c>
      <c r="G16" s="21" t="n">
        <v>-185</v>
      </c>
      <c r="H16" s="21" t="n">
        <v>-180</v>
      </c>
      <c r="I16" s="21" t="n">
        <v>-170</v>
      </c>
    </row>
    <row r="17" ht="19" customHeight="1">
      <c r="A17" s="17" t="inlineStr">
        <is>
          <t>Levered Free Cash Flow (Cash Burn)</t>
        </is>
      </c>
      <c r="B17" s="22">
        <f>SUM(B15:B16)</f>
        <v/>
      </c>
      <c r="C17" s="22">
        <f>SUM(C15:C16)</f>
        <v/>
      </c>
      <c r="D17" s="22">
        <f>SUM(D15:D16)</f>
        <v/>
      </c>
      <c r="E17" s="22">
        <f>SUM(E15:E16)</f>
        <v/>
      </c>
      <c r="F17" s="22">
        <f>SUM(F15:F16)</f>
        <v/>
      </c>
      <c r="G17" s="22">
        <f>SUM(G15:G16)</f>
        <v/>
      </c>
      <c r="H17" s="22">
        <f>SUM(H15:H16)</f>
        <v/>
      </c>
      <c r="I17" s="22">
        <f>SUM(I15:I16)</f>
        <v/>
      </c>
    </row>
    <row r="18" ht="19" customHeight="1">
      <c r="A18" s="10" t="inlineStr">
        <is>
          <t>BALANCE SHEET, DEBT &amp; LEVERAGE METRICS</t>
        </is>
      </c>
    </row>
    <row r="19" ht="19" customHeight="1">
      <c r="A19" s="15" t="inlineStr">
        <is>
          <t>Gross Financial Debt (USD mn)</t>
        </is>
      </c>
      <c r="B19" s="16" t="n">
        <v>1520</v>
      </c>
      <c r="C19" s="16" t="n">
        <v>1610</v>
      </c>
      <c r="D19" s="16" t="n">
        <v>1580</v>
      </c>
      <c r="E19" s="16" t="n">
        <v>1420</v>
      </c>
      <c r="F19" s="16" t="n">
        <v>1480</v>
      </c>
      <c r="G19" s="16" t="n">
        <v>1450</v>
      </c>
      <c r="H19" s="16" t="n">
        <v>1410</v>
      </c>
      <c r="I19" s="16" t="n">
        <v>1350</v>
      </c>
    </row>
    <row r="20" ht="19" customHeight="1">
      <c r="A20" s="15" t="inlineStr">
        <is>
          <t>Cash &amp; Equivalents (USD mn)</t>
        </is>
      </c>
      <c r="B20" s="16" t="n">
        <v>180</v>
      </c>
      <c r="C20" s="16" t="n">
        <v>260</v>
      </c>
      <c r="D20" s="16" t="n">
        <v>230</v>
      </c>
      <c r="E20" s="16" t="n">
        <v>252</v>
      </c>
      <c r="F20" s="16" t="n">
        <v>230</v>
      </c>
      <c r="G20" s="16" t="n">
        <v>210</v>
      </c>
      <c r="H20" s="16" t="n">
        <v>190</v>
      </c>
      <c r="I20" s="16" t="n">
        <v>180</v>
      </c>
    </row>
    <row r="21" ht="19" customHeight="1">
      <c r="A21" s="17" t="inlineStr">
        <is>
          <t>Net Financial Debt (USD mn)</t>
        </is>
      </c>
      <c r="B21" s="18">
        <f>B19-B20</f>
        <v/>
      </c>
      <c r="C21" s="18">
        <f>C19-C20</f>
        <v/>
      </c>
      <c r="D21" s="18">
        <f>D19-D20</f>
        <v/>
      </c>
      <c r="E21" s="18">
        <f>E19-E20</f>
        <v/>
      </c>
      <c r="F21" s="18">
        <f>F19-F20</f>
        <v/>
      </c>
      <c r="G21" s="18">
        <f>G19-G20</f>
        <v/>
      </c>
      <c r="H21" s="18">
        <f>H19-H20</f>
        <v/>
      </c>
      <c r="I21" s="18">
        <f>I19-I20</f>
        <v/>
      </c>
    </row>
    <row r="22" ht="19" customHeight="1">
      <c r="A22" s="15" t="inlineStr">
        <is>
          <t>Gross Debt / Rep. USD EBITDA (x)</t>
        </is>
      </c>
      <c r="B22" s="23">
        <f>B19/B8</f>
        <v/>
      </c>
      <c r="C22" s="23">
        <f>C19/C8</f>
        <v/>
      </c>
      <c r="D22" s="23">
        <f>D19/D8</f>
        <v/>
      </c>
      <c r="E22" s="23">
        <f>E19/E8</f>
        <v/>
      </c>
      <c r="F22" s="23">
        <f>F19/(F8*2)</f>
        <v/>
      </c>
      <c r="G22" s="23">
        <f>G19/G8</f>
        <v/>
      </c>
      <c r="H22" s="23">
        <f>H19/H8</f>
        <v/>
      </c>
      <c r="I22" s="23">
        <f>I19/I8</f>
        <v/>
      </c>
    </row>
    <row r="23" ht="19" customHeight="1">
      <c r="A23" s="15" t="inlineStr">
        <is>
          <t>Net Debt / Rep. USD EBITDA (x)</t>
        </is>
      </c>
      <c r="B23" s="23">
        <f>B21/B8</f>
        <v/>
      </c>
      <c r="C23" s="23">
        <f>C21/C8</f>
        <v/>
      </c>
      <c r="D23" s="23">
        <f>D21/D8</f>
        <v/>
      </c>
      <c r="E23" s="23">
        <f>E21/E8</f>
        <v/>
      </c>
      <c r="F23" s="23">
        <f>F21/(F8*2)</f>
        <v/>
      </c>
      <c r="G23" s="23">
        <f>G21/G8</f>
        <v/>
      </c>
      <c r="H23" s="23">
        <f>H21/H8</f>
        <v/>
      </c>
      <c r="I23" s="23">
        <f>I21/I8</f>
        <v/>
      </c>
    </row>
    <row r="24" ht="19" customHeight="1">
      <c r="A24" s="15" t="inlineStr">
        <is>
          <t>EBITDA Interest Coverage Ratio (x)</t>
        </is>
      </c>
      <c r="B24" s="24">
        <f>B8/(-B16)</f>
        <v/>
      </c>
      <c r="C24" s="24">
        <f>C8/(-C16)</f>
        <v/>
      </c>
      <c r="D24" s="24">
        <f>D8/(-D16)</f>
        <v/>
      </c>
      <c r="E24" s="25">
        <f>E8/(-E16)</f>
        <v/>
      </c>
      <c r="F24" s="25">
        <f>F8*2/(-F16*2)</f>
        <v/>
      </c>
      <c r="G24" s="25">
        <f>G8/(-G16)</f>
        <v/>
      </c>
      <c r="H24" s="25">
        <f>H8/(-H16)</f>
        <v/>
      </c>
      <c r="I24" s="25">
        <f>I8/(-I16)</f>
        <v/>
      </c>
    </row>
    <row r="25" ht="19" customHeight="1">
      <c r="A25" s="10" t="inlineStr">
        <is>
          <t>REPORTED FINANCIAL STATEMENT METRICS (TRY TMS 29 HYPERINFLATION)</t>
        </is>
      </c>
    </row>
    <row r="26" ht="19" customHeight="1">
      <c r="A26" s="15" t="inlineStr">
        <is>
          <t>Reported Revenue (TRY mn)</t>
        </is>
      </c>
      <c r="B26" s="26" t="n">
        <v>18500</v>
      </c>
      <c r="C26" s="26" t="n">
        <v>24100</v>
      </c>
      <c r="D26" s="26" t="n">
        <v>31200</v>
      </c>
      <c r="E26" s="26" t="n">
        <v>34500</v>
      </c>
      <c r="F26" s="26" t="n">
        <v>13000</v>
      </c>
      <c r="G26" s="26" t="n">
        <v>29000</v>
      </c>
      <c r="H26" s="26" t="n">
        <v>34000</v>
      </c>
      <c r="I26" s="26" t="n">
        <v>39000</v>
      </c>
    </row>
    <row r="27" ht="19" customHeight="1">
      <c r="A27" s="15" t="inlineStr">
        <is>
          <t>Reported EBITDA (TRY mn - TMS 29)</t>
        </is>
      </c>
      <c r="B27" s="26" t="n">
        <v>7100</v>
      </c>
      <c r="C27" s="26" t="n">
        <v>9200</v>
      </c>
      <c r="D27" s="26" t="n">
        <v>12192</v>
      </c>
      <c r="E27" s="26" t="n">
        <v>13094</v>
      </c>
      <c r="F27" s="26" t="n">
        <v>5100</v>
      </c>
      <c r="G27" s="26" t="n">
        <v>11800</v>
      </c>
      <c r="H27" s="26" t="n">
        <v>13600</v>
      </c>
      <c r="I27" s="26" t="n">
        <v>15500</v>
      </c>
    </row>
    <row r="28" ht="19" customHeight="1">
      <c r="A28" s="15" t="inlineStr">
        <is>
          <t>Period-End USD/TRY Exchange Rate</t>
        </is>
      </c>
      <c r="B28" s="27" t="n">
        <v>18.7</v>
      </c>
      <c r="C28" s="27" t="n">
        <v>29.5</v>
      </c>
      <c r="D28" s="27" t="n">
        <v>35.22</v>
      </c>
      <c r="E28" s="27" t="n">
        <v>42.85</v>
      </c>
      <c r="F28" s="27" t="n">
        <v>48.7</v>
      </c>
      <c r="G28" s="27" t="n">
        <v>52.5</v>
      </c>
      <c r="H28" s="27" t="n">
        <v>58</v>
      </c>
      <c r="I28" s="27" t="n">
        <v>64</v>
      </c>
    </row>
    <row r="29" ht="19" customHeight="1">
      <c r="A29" s="15" t="inlineStr">
        <is>
          <t>Implied USD EBITDA @ Period-End FX ($ mn)</t>
        </is>
      </c>
      <c r="B29" s="16">
        <f>B27/B28</f>
        <v/>
      </c>
      <c r="C29" s="16">
        <f>C27/C28</f>
        <v/>
      </c>
      <c r="D29" s="16">
        <f>D27/D28</f>
        <v/>
      </c>
      <c r="E29" s="16">
        <f>E27/E28</f>
        <v/>
      </c>
      <c r="F29" s="16">
        <f>F27/F28</f>
        <v/>
      </c>
      <c r="G29" s="16">
        <f>G27/G28</f>
        <v/>
      </c>
      <c r="H29" s="16">
        <f>H27/H28</f>
        <v/>
      </c>
      <c r="I29" s="16">
        <f>I27/I28</f>
        <v/>
      </c>
    </row>
    <row r="30" ht="19" customHeight="1">
      <c r="A30" s="15" t="inlineStr">
        <is>
          <t>TRY Net Monetary Gain / (Loss) (TRY mn)</t>
        </is>
      </c>
      <c r="B30" s="26" t="n">
        <v>2100</v>
      </c>
      <c r="C30" s="26" t="n">
        <v>3400</v>
      </c>
      <c r="D30" s="26" t="n">
        <v>4800</v>
      </c>
      <c r="E30" s="26" t="n">
        <v>5200</v>
      </c>
      <c r="F30" s="26" t="n">
        <v>1800</v>
      </c>
      <c r="G30" s="26" t="n">
        <v>4100</v>
      </c>
      <c r="H30" s="26" t="n">
        <v>3800</v>
      </c>
      <c r="I30" s="26" t="n">
        <v>3200</v>
      </c>
    </row>
  </sheetData>
  <mergeCells count="5">
    <mergeCell ref="A25:I25"/>
    <mergeCell ref="A11:I11"/>
    <mergeCell ref="A1:I1"/>
    <mergeCell ref="A18:I18"/>
    <mergeCell ref="A4:I4"/>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8"/>
  <sheetViews>
    <sheetView showGridLines="1" workbookViewId="0">
      <selection activeCell="A1" sqref="A1"/>
    </sheetView>
  </sheetViews>
  <sheetFormatPr baseColWidth="8" defaultRowHeight="15"/>
  <cols>
    <col width="36" customWidth="1" min="1" max="1"/>
    <col width="18" customWidth="1" min="2" max="2"/>
    <col width="18" customWidth="1" min="3" max="3"/>
    <col width="16" customWidth="1" min="4" max="4"/>
    <col width="32" customWidth="1" min="5" max="5"/>
    <col width="42" customWidth="1" min="6" max="6"/>
  </cols>
  <sheetData>
    <row r="1" ht="28" customHeight="1">
      <c r="A1" s="1" t="inlineStr">
        <is>
          <t>ZORLU ENERJİ — BALANCE SHEET DEEP DIVE: RECEIVABLES, PAYABLES &amp; ASSET BREAKDOWN</t>
        </is>
      </c>
    </row>
    <row r="2" ht="18" customHeight="1">
      <c r="A2" s="2" t="inlineStr">
        <is>
          <t>IFRIC 12 Service Concessions (TRY 16.7B), Related-Party Group Exposure, Pakistan Status &amp; Net Working Capital</t>
        </is>
      </c>
    </row>
    <row r="4" ht="20" customHeight="1">
      <c r="A4" s="10" t="inlineStr">
        <is>
          <t>1. DETAILED BALANCE SHEET LINE ITEMS &amp; LIQUIDITY ASSESSMENT (MID-2026 / FY25)</t>
        </is>
      </c>
    </row>
    <row r="5" ht="24" customHeight="1">
      <c r="A5" s="11" t="inlineStr">
        <is>
          <t>Balance Sheet Component / Line Item</t>
        </is>
      </c>
      <c r="B5" s="11" t="inlineStr">
        <is>
          <t>Reported TRY (mn)</t>
        </is>
      </c>
      <c r="C5" s="11" t="inlineStr">
        <is>
          <t>USD Equiv ($ mn)</t>
        </is>
      </c>
      <c r="D5" s="11" t="inlineStr">
        <is>
          <t>% of Total Assets</t>
        </is>
      </c>
      <c r="E5" s="11" t="inlineStr">
        <is>
          <t>Accounting Treatment / Nature</t>
        </is>
      </c>
      <c r="F5" s="11" t="inlineStr">
        <is>
          <t>Distressed Realizability / Credit Risk</t>
        </is>
      </c>
    </row>
    <row r="6" ht="20" customHeight="1">
      <c r="A6" s="10" t="inlineStr">
        <is>
          <t>ASSETS</t>
        </is>
      </c>
    </row>
    <row r="7" ht="20" customHeight="1">
      <c r="A7" s="15" t="inlineStr">
        <is>
          <t>Cash &amp; Cash Equivalents</t>
        </is>
      </c>
      <c r="B7" s="26" t="n">
        <v>9850</v>
      </c>
      <c r="C7" s="16" t="n">
        <v>230</v>
      </c>
      <c r="D7" s="75">
        <f>C7/C24</f>
        <v/>
      </c>
      <c r="E7" s="40" t="inlineStr">
        <is>
          <t>Unrestricted ($150M) + OpCo DSRA ($80M)</t>
        </is>
      </c>
      <c r="F7" s="40" t="inlineStr">
        <is>
          <t>Available liquidity; $80M trapped at OpCo/ADB debt reserves</t>
        </is>
      </c>
    </row>
    <row r="8" ht="20" customHeight="1">
      <c r="A8" s="15" t="inlineStr">
        <is>
          <t>Trade Receivables (Third Parties)</t>
        </is>
      </c>
      <c r="B8" s="26" t="n">
        <v>4710</v>
      </c>
      <c r="C8" s="16" t="n">
        <v>110</v>
      </c>
      <c r="D8" s="75">
        <f>C8/C24</f>
        <v/>
      </c>
      <c r="E8" s="40" t="inlineStr">
        <is>
          <t>Electricity retail &amp; EPİAŞ market clearing</t>
        </is>
      </c>
      <c r="F8" s="40" t="inlineStr">
        <is>
          <t>Normal 30-45 day turnover; EPDK consumer collection rules</t>
        </is>
      </c>
    </row>
    <row r="9" ht="20" customHeight="1">
      <c r="A9" s="82" t="inlineStr">
        <is>
          <t>Related-Party Receivables (Zorlu Holding / Group)</t>
        </is>
      </c>
      <c r="B9" s="26" t="n">
        <v>3640</v>
      </c>
      <c r="C9" s="16" t="n">
        <v>85</v>
      </c>
      <c r="D9" s="75">
        <f>C9/C24</f>
        <v/>
      </c>
      <c r="E9" s="40" t="inlineStr">
        <is>
          <t>Advances &amp; non-trade loans to Zorlu Holding</t>
        </is>
      </c>
      <c r="F9" s="83" t="inlineStr">
        <is>
          <t>HIGH IMPAIRMENT RISK: Parent restructuring $4B; illiquid</t>
        </is>
      </c>
    </row>
    <row r="10" ht="20" customHeight="1">
      <c r="A10" s="15" t="inlineStr">
        <is>
          <t>Inventories &amp; Other Current Assets</t>
        </is>
      </c>
      <c r="B10" s="26" t="n">
        <v>2570</v>
      </c>
      <c r="C10" s="16" t="n">
        <v>60</v>
      </c>
      <c r="D10" s="75">
        <f>C10/C24</f>
        <v/>
      </c>
      <c r="E10" s="40" t="inlineStr">
        <is>
          <t>Spare parts, geothermal piping, prepayments</t>
        </is>
      </c>
      <c r="F10" s="40" t="inlineStr">
        <is>
          <t>Operational working capital; minimal standalone liquidation value</t>
        </is>
      </c>
    </row>
    <row r="11" ht="20" customHeight="1">
      <c r="A11" s="84" t="inlineStr">
        <is>
          <t>Total Current Assets</t>
        </is>
      </c>
      <c r="B11" s="85">
        <f>SUM(B7:B10)</f>
        <v/>
      </c>
      <c r="C11" s="18">
        <f>SUM(C7:C10)</f>
        <v/>
      </c>
      <c r="D11" s="86">
        <f>C11/C24</f>
        <v/>
      </c>
      <c r="E11" s="84" t="inlineStr"/>
      <c r="F11" s="87" t="inlineStr">
        <is>
          <t>Current asset pool</t>
        </is>
      </c>
    </row>
    <row r="12" ht="20" customHeight="1">
      <c r="A12" s="15" t="inlineStr">
        <is>
          <t>IFRIC 12 Service Concession Financial Assets (OEDAŞ)</t>
        </is>
      </c>
      <c r="B12" s="26" t="n">
        <v>16667</v>
      </c>
      <c r="C12" s="16" t="n">
        <v>388.9</v>
      </c>
      <c r="D12" s="75">
        <f>C13/C24</f>
        <v/>
      </c>
      <c r="E12" s="40" t="inlineStr">
        <is>
          <t>Financial asset model under TFRIC 12</t>
        </is>
      </c>
      <c r="F12" s="40" t="inlineStr">
        <is>
          <t>CORE UTILITY ASSET: Guaranteed reimbursement from EPDK tariffs</t>
        </is>
      </c>
    </row>
    <row r="13" ht="20" customHeight="1">
      <c r="A13" s="15" t="inlineStr">
        <is>
          <t>Property, Plant &amp; Equipment (Generation Fleet)</t>
        </is>
      </c>
      <c r="B13" s="26" t="n">
        <v>40700</v>
      </c>
      <c r="C13" s="16" t="n">
        <v>950</v>
      </c>
      <c r="D13" s="75">
        <f>C14/C24</f>
        <v/>
      </c>
      <c r="E13" s="40" t="inlineStr">
        <is>
          <t>Geothermal, wind &amp; hydro power plants</t>
        </is>
      </c>
      <c r="F13" s="40" t="inlineStr">
        <is>
          <t>Physical generating fleet; pledged to project lenders / ADB</t>
        </is>
      </c>
    </row>
    <row r="14" ht="20" customHeight="1">
      <c r="A14" s="82" t="inlineStr">
        <is>
          <t>International Assets Held for Sale (Pakistan &amp; Israel)</t>
        </is>
      </c>
      <c r="B14" s="26" t="n">
        <v>3425</v>
      </c>
      <c r="C14" s="16" t="n">
        <v>80</v>
      </c>
      <c r="D14" s="75">
        <f>C15/C24</f>
        <v/>
      </c>
      <c r="E14" s="40" t="inlineStr">
        <is>
          <t>ZEPL (56.4 MW Wind) &amp; Israel Dorad stake</t>
        </is>
      </c>
      <c r="F14" s="83" t="inlineStr">
        <is>
          <t>STALLED DIVESTMENTS: Pakistan trapped by FX controls / circular debt</t>
        </is>
      </c>
    </row>
    <row r="15" ht="20" customHeight="1">
      <c r="A15" s="15" t="inlineStr">
        <is>
          <t>Intangibles &amp; Other Non-Current Assets</t>
        </is>
      </c>
      <c r="B15" s="26" t="n">
        <v>5140</v>
      </c>
      <c r="C15" s="16" t="n">
        <v>120</v>
      </c>
      <c r="D15" s="75">
        <f>C16/C24</f>
        <v/>
      </c>
      <c r="E15" s="40" t="inlineStr">
        <is>
          <t>Generation licenses, software, deferred tax</t>
        </is>
      </c>
      <c r="F15" s="40" t="inlineStr">
        <is>
          <t>Regulatory operating licenses; non-liquidating</t>
        </is>
      </c>
    </row>
    <row r="16" ht="20" customHeight="1">
      <c r="A16" s="84" t="inlineStr">
        <is>
          <t>Total Non-Current Assets</t>
        </is>
      </c>
      <c r="B16" s="85">
        <f>SUM(B13:B16)</f>
        <v/>
      </c>
      <c r="C16" s="18">
        <f>SUM(C13:C16)</f>
        <v/>
      </c>
      <c r="D16" s="86">
        <f>C17/C24</f>
        <v/>
      </c>
      <c r="E16" s="84" t="inlineStr"/>
      <c r="F16" s="87" t="inlineStr">
        <is>
          <t>Long-term capital assets</t>
        </is>
      </c>
    </row>
    <row r="17" ht="20" customHeight="1">
      <c r="A17" s="88" t="inlineStr">
        <is>
          <t>TOTAL ASSETS</t>
        </is>
      </c>
      <c r="B17" s="89">
        <f>B11+B17</f>
        <v/>
      </c>
      <c r="C17" s="63">
        <f>C11+C17</f>
        <v/>
      </c>
      <c r="D17" s="90">
        <f>C18/C24</f>
        <v/>
      </c>
      <c r="E17" s="88" t="inlineStr"/>
      <c r="F17" s="88" t="inlineStr">
        <is>
          <t>Total consolidated economic resources</t>
        </is>
      </c>
    </row>
    <row r="18" ht="20" customHeight="1">
      <c r="A18" s="10" t="inlineStr">
        <is>
          <t>LIABILITIES &amp; EQUITY</t>
        </is>
      </c>
    </row>
    <row r="19" ht="20" customHeight="1">
      <c r="A19" s="15" t="inlineStr">
        <is>
          <t>Short-Term Financial Debt &amp; Bank Overdrafts</t>
        </is>
      </c>
      <c r="B19" s="26" t="n">
        <v>5570</v>
      </c>
      <c r="C19" s="16" t="n">
        <v>130</v>
      </c>
      <c r="D19" s="75">
        <f>C21/C24</f>
        <v/>
      </c>
      <c r="E19" s="40" t="inlineStr">
        <is>
          <t>OpCo loan amortizations &amp; local credit lines</t>
        </is>
      </c>
      <c r="F19" s="40" t="inlineStr">
        <is>
          <t>Immediate refinancing pressure; rolled over with Turkish banks</t>
        </is>
      </c>
    </row>
    <row r="20" ht="20" customHeight="1">
      <c r="A20" s="15" t="inlineStr">
        <is>
          <t>Trade Payables (EPİAŞ, EÜAŞ, Energy Suppliers)</t>
        </is>
      </c>
      <c r="B20" s="26" t="n">
        <v>6000</v>
      </c>
      <c r="C20" s="16" t="n">
        <v>140</v>
      </c>
      <c r="D20" s="75">
        <f>C22/C24</f>
        <v/>
      </c>
      <c r="E20" s="40" t="inlineStr">
        <is>
          <t>Power purchases from wholesale pool &amp; EÜAŞ</t>
        </is>
      </c>
      <c r="F20" s="40" t="inlineStr">
        <is>
          <t>Essential operational payables; non-payment triggers grid cut-off</t>
        </is>
      </c>
    </row>
    <row r="21" ht="20" customHeight="1">
      <c r="A21" s="82" t="inlineStr">
        <is>
          <t>Related-Party Payables (Zorlu O&amp;M, Services)</t>
        </is>
      </c>
      <c r="B21" s="26" t="n">
        <v>1925</v>
      </c>
      <c r="C21" s="16" t="n">
        <v>45</v>
      </c>
      <c r="D21" s="75">
        <f>C23/C24</f>
        <v/>
      </c>
      <c r="E21" s="40" t="inlineStr">
        <is>
          <t>Plant maintenance &amp; corporate overhead fees</t>
        </is>
      </c>
      <c r="F21" s="83" t="inlineStr">
        <is>
          <t>Contractual fees to affiliates; subordinate in formal workout</t>
        </is>
      </c>
    </row>
    <row r="22" ht="20" customHeight="1">
      <c r="A22" s="15" t="inlineStr">
        <is>
          <t>Other Payables &amp; Current Provisions</t>
        </is>
      </c>
      <c r="B22" s="26" t="n">
        <v>3425</v>
      </c>
      <c r="C22" s="16" t="n">
        <v>80</v>
      </c>
      <c r="D22" s="75">
        <f>C24/C24</f>
        <v/>
      </c>
      <c r="E22" s="40" t="inlineStr">
        <is>
          <t>Taxes, employee obligations, tariff accruals</t>
        </is>
      </c>
      <c r="F22" s="40" t="inlineStr">
        <is>
          <t>Statutory priority liabilities</t>
        </is>
      </c>
    </row>
    <row r="23" ht="20" customHeight="1">
      <c r="A23" s="84" t="inlineStr">
        <is>
          <t>Total Current Liabilities</t>
        </is>
      </c>
      <c r="B23" s="85">
        <f>SUM(B21:B24)</f>
        <v/>
      </c>
      <c r="C23" s="18">
        <f>SUM(C21:C24)</f>
        <v/>
      </c>
      <c r="D23" s="86">
        <f>C25/C24</f>
        <v/>
      </c>
      <c r="E23" s="84" t="inlineStr"/>
      <c r="F23" s="87" t="inlineStr">
        <is>
          <t>Short-term claims</t>
        </is>
      </c>
    </row>
    <row r="24" ht="20" customHeight="1">
      <c r="A24" s="15" t="inlineStr">
        <is>
          <t>Senior Unsecured Eurobond (XS2926261426)</t>
        </is>
      </c>
      <c r="B24" s="26" t="n">
        <v>47135</v>
      </c>
      <c r="C24" s="16" t="n">
        <v>1100</v>
      </c>
      <c r="D24" s="75">
        <f>C27/C24</f>
        <v/>
      </c>
      <c r="E24" s="40" t="inlineStr">
        <is>
          <t>11.0% notes due April 2030 (HoldCo)</t>
        </is>
      </c>
      <c r="F24" s="40" t="inlineStr">
        <is>
          <t>IN DISTRESS: Trading at ~63.5c; subject of Houlihan workout</t>
        </is>
      </c>
    </row>
    <row r="25" ht="20" customHeight="1">
      <c r="A25" s="15" t="inlineStr">
        <is>
          <t>OpCo Senior Secured Loans (ADB + Bank Project Debt)</t>
        </is>
      </c>
      <c r="B25" s="26" t="n">
        <v>10710</v>
      </c>
      <c r="C25" s="16" t="n">
        <v>250</v>
      </c>
      <c r="D25" s="75">
        <f>C28/C24</f>
        <v/>
      </c>
      <c r="E25" s="40" t="inlineStr">
        <is>
          <t>ADB TRY 3.98B loan ($115M) + OEDAŞ capex</t>
        </is>
      </c>
      <c r="F25" s="40" t="inlineStr">
        <is>
          <t>SENIOR STRUCTURAL CLAIM: 100% secured on OEDAŞ utility assets</t>
        </is>
      </c>
    </row>
    <row r="26" ht="20" customHeight="1">
      <c r="A26" s="15" t="inlineStr">
        <is>
          <t>Other Long-Term Project Debt &amp; Provisions</t>
        </is>
      </c>
      <c r="B26" s="26" t="n">
        <v>2570</v>
      </c>
      <c r="C26" s="16" t="n">
        <v>60</v>
      </c>
      <c r="D26" s="75">
        <f>C29/C24</f>
        <v/>
      </c>
      <c r="E26" s="40" t="inlineStr">
        <is>
          <t>Geothermal long-term site restoration provisions</t>
        </is>
      </c>
      <c r="F26" s="40" t="inlineStr">
        <is>
          <t>Project obligations</t>
        </is>
      </c>
    </row>
    <row r="27" ht="20" customHeight="1">
      <c r="A27" s="84" t="inlineStr">
        <is>
          <t>Total Non-Current Liabilities</t>
        </is>
      </c>
      <c r="B27" s="85">
        <f>SUM(B27:B29)</f>
        <v/>
      </c>
      <c r="C27" s="18">
        <f>SUM(C27:C29)</f>
        <v/>
      </c>
      <c r="D27" s="86">
        <f>C30/C24</f>
        <v/>
      </c>
      <c r="E27" s="84" t="inlineStr"/>
      <c r="F27" s="87" t="inlineStr">
        <is>
          <t>Long-term funded debt</t>
        </is>
      </c>
    </row>
    <row r="28" ht="20" customHeight="1">
      <c r="A28" s="88" t="inlineStr">
        <is>
          <t>TOTAL LIABILITIES</t>
        </is>
      </c>
      <c r="B28" s="89">
        <f>B25+B30</f>
        <v/>
      </c>
      <c r="C28" s="63">
        <f>C25+C30</f>
        <v/>
      </c>
      <c r="D28" s="90">
        <f>C31/C24</f>
        <v/>
      </c>
      <c r="E28" s="88" t="inlineStr"/>
      <c r="F28" s="88" t="inlineStr">
        <is>
          <t>Total enterprise liabilities</t>
        </is>
      </c>
    </row>
    <row r="29" ht="20" customHeight="1">
      <c r="A29" s="91" t="inlineStr">
        <is>
          <t>SHAREHOLDERS' EQUITY</t>
        </is>
      </c>
      <c r="B29" s="92">
        <f>B18-B31</f>
        <v/>
      </c>
      <c r="C29" s="93">
        <f>C18-C31</f>
        <v/>
      </c>
      <c r="D29" s="94">
        <f>C32/C24</f>
        <v/>
      </c>
      <c r="E29" s="91" t="inlineStr"/>
      <c r="F29" s="91" t="inlineStr">
        <is>
          <t>Severely eroded by TRY depreciation and negative FCF</t>
        </is>
      </c>
    </row>
    <row r="31" ht="20" customHeight="1">
      <c r="A31" s="10" t="inlineStr">
        <is>
          <t>2. STRATEGIC AUDIT: PAKISTAN DIVESTMENT STATUS &amp; RELATED-PARTY LEAKAGE</t>
        </is>
      </c>
    </row>
    <row r="32">
      <c r="A32" s="54" t="inlineStr">
        <is>
          <t>KEY STRATEGIC FINDINGS ON PAKISTAN &amp; BALANCE SHEET ITEMS:
1. PAKISTAN IS NOT SOLD (STALLED DIVESTMENT): While Zorlu Enerji announced plans to divest its Pakistan wind assets (Zorlu Enerji Pakistan Ltd - ZEPL, 56.4 MW) and initiated liquidation/sale procedures to focus on Turkey, the sale has NOT closed. Corporate filings and KAP records confirm the asset remains under group control. Divestment has been paralyzed by Pakistan's severe foreign currency shortage, circular energy debt, and central bank repatriation blocks. Distressed credit analysts must treat Pakistan as an illiquid asset with near-zero hard-dollar upstreaming capacity.
2. THE IFRIC 12 REGULATORY RECEIVABLE (TRY 16.7 BILLION / ~$389M): This is Zorlu's single largest non-current asset. Under Turkish concession law, physical distribution grids belong to the state (TEDAŞ). OEDAŞ's grid investments are recorded as a financial receivable from the concession grantor. It earns a guaranteed real return (WACC ~13% + inflation indexation), providing rock-solid asset backing, BUT it is legally pledged to senior OpCo debt (including the August 2026 TRY 3.98B ADB loan) and cannot be liquidated for HoldCo bondholders.
3. RELATED-PARTY LEAKAGE ($85M RECEIVABLE AT RISK): Zorlu Enerji carries ~TRY 3.64B (~$85M) of receivables from parent Zorlu Holding and affiliates. Because Zorlu Holding is simultaneously restructuring $3.5B-$4.9B of debt across Turkish banks, this $85M receivable cannot be collected in cash. Furthermore, Zorlu Enerji pays ~TRY 1.9B ($45M) in annual trade payables to related entities (Zorlu O&amp;M, Zorlu Gayrimenkul), creating ongoing conglomerate cash extraction.</t>
        </is>
      </c>
      <c r="B32" s="66" t="n"/>
      <c r="C32" s="66" t="n"/>
      <c r="D32" s="66" t="n"/>
      <c r="E32" s="66" t="n"/>
      <c r="F32" s="67" t="n"/>
    </row>
    <row r="33">
      <c r="A33" s="68" t="n"/>
      <c r="F33" s="69" t="n"/>
    </row>
    <row r="34">
      <c r="A34" s="68" t="n"/>
      <c r="F34" s="69" t="n"/>
    </row>
    <row r="35">
      <c r="A35" s="68" t="n"/>
      <c r="F35" s="69" t="n"/>
    </row>
    <row r="36">
      <c r="A36" s="68" t="n"/>
      <c r="F36" s="69" t="n"/>
    </row>
    <row r="37">
      <c r="A37" s="68" t="n"/>
      <c r="F37" s="69" t="n"/>
    </row>
    <row r="38">
      <c r="A38" s="70" t="n"/>
      <c r="B38" s="71" t="n"/>
      <c r="C38" s="71" t="n"/>
      <c r="D38" s="71" t="n"/>
      <c r="E38" s="71" t="n"/>
      <c r="F38" s="72" t="n"/>
    </row>
  </sheetData>
  <mergeCells count="7">
    <mergeCell ref="A1:G1"/>
    <mergeCell ref="A32:F38"/>
    <mergeCell ref="A4:G4"/>
    <mergeCell ref="A31:F31"/>
    <mergeCell ref="A6:F6"/>
    <mergeCell ref="A2:G2"/>
    <mergeCell ref="A18:F18"/>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8"/>
  <sheetViews>
    <sheetView showGridLines="1" workbookViewId="0">
      <selection activeCell="A1" sqref="A1"/>
    </sheetView>
  </sheetViews>
  <sheetFormatPr baseColWidth="8" defaultRowHeight="15"/>
  <cols>
    <col width="36" customWidth="1" min="1" max="1"/>
    <col width="26" customWidth="1" min="2" max="2"/>
    <col width="26" customWidth="1" min="3" max="3"/>
    <col width="10" customWidth="1" min="4" max="4"/>
    <col width="14" customWidth="1" min="5" max="5"/>
    <col width="16" customWidth="1" min="6" max="6"/>
    <col width="15" customWidth="1" min="7" max="7"/>
    <col width="13" customWidth="1" min="8" max="8"/>
    <col width="38" customWidth="1" min="9" max="9"/>
  </cols>
  <sheetData>
    <row r="1" ht="28" customHeight="1">
      <c r="A1" s="1" t="inlineStr">
        <is>
          <t>ZORLU ENERJİ — CAPITAL STRUCTURE, DEBT CLAIMS &amp; SUBORDINATION (MID-2026)</t>
        </is>
      </c>
    </row>
    <row r="3">
      <c r="A3" s="11" t="inlineStr">
        <is>
          <t>Tranche / Instrument</t>
        </is>
      </c>
      <c r="B3" s="11" t="inlineStr">
        <is>
          <t>Borrower / Entity</t>
        </is>
      </c>
      <c r="C3" s="11" t="inlineStr">
        <is>
          <t>Governing Law / Type</t>
        </is>
      </c>
      <c r="D3" s="11" t="inlineStr">
        <is>
          <t>Currency</t>
        </is>
      </c>
      <c r="E3" s="11" t="inlineStr">
        <is>
          <t>Amount (Orig)</t>
        </is>
      </c>
      <c r="F3" s="11" t="inlineStr">
        <is>
          <t>Amount (USD mn)</t>
        </is>
      </c>
      <c r="G3" s="11" t="inlineStr">
        <is>
          <t>Coupon / Cost</t>
        </is>
      </c>
      <c r="H3" s="11" t="inlineStr">
        <is>
          <t>Maturity</t>
        </is>
      </c>
      <c r="I3" s="11" t="inlineStr">
        <is>
          <t>Seniority &amp; Collateral</t>
        </is>
      </c>
    </row>
    <row r="4" ht="20" customHeight="1">
      <c r="A4" s="10" t="inlineStr">
        <is>
          <t>1. OPERATING COMPANY (OPCO) SENIOR SECURED DEBT</t>
        </is>
      </c>
    </row>
    <row r="5" ht="20" customHeight="1">
      <c r="A5" s="15" t="inlineStr">
        <is>
          <t>ADB Distribution Rehabilitation Loan</t>
        </is>
      </c>
      <c r="B5" s="15" t="inlineStr">
        <is>
          <t>Osmangazi Dağıtım (OEDAŞ)</t>
        </is>
      </c>
      <c r="C5" s="15" t="inlineStr">
        <is>
          <t>DFI Concessional Loan</t>
        </is>
      </c>
      <c r="D5" s="28" t="inlineStr">
        <is>
          <t>TRY</t>
        </is>
      </c>
      <c r="E5" s="29" t="inlineStr">
        <is>
          <t>3,979.8M</t>
        </is>
      </c>
      <c r="F5" s="16" t="n">
        <v>115</v>
      </c>
      <c r="G5" s="28" t="inlineStr">
        <is>
          <t>Ref + Margin</t>
        </is>
      </c>
      <c r="H5" s="28" t="inlineStr">
        <is>
          <t>2034</t>
        </is>
      </c>
      <c r="I5" s="15" t="inlineStr">
        <is>
          <t>Senior Secured on OEDAŞ grid receivables</t>
        </is>
      </c>
    </row>
    <row r="6" ht="20" customHeight="1">
      <c r="A6" s="15" t="inlineStr">
        <is>
          <t>AIIB &amp; Local Banks OEDAŞ Capex Facilities</t>
        </is>
      </c>
      <c r="B6" s="15" t="inlineStr">
        <is>
          <t>Osmangazi Dağıtım (OEDAŞ)</t>
        </is>
      </c>
      <c r="C6" s="15" t="inlineStr">
        <is>
          <t>Project Finance / Syndicated</t>
        </is>
      </c>
      <c r="D6" s="28" t="inlineStr">
        <is>
          <t>TRY/USD</t>
        </is>
      </c>
      <c r="E6" s="29" t="inlineStr">
        <is>
          <t>Various</t>
        </is>
      </c>
      <c r="F6" s="16" t="n">
        <v>135</v>
      </c>
      <c r="G6" s="28" t="inlineStr">
        <is>
          <t>12.5% / SOFR+4.5%</t>
        </is>
      </c>
      <c r="H6" s="28" t="inlineStr">
        <is>
          <t>2027-2029</t>
        </is>
      </c>
      <c r="I6" s="15" t="inlineStr">
        <is>
          <t>Pledged on distribution revenue account</t>
        </is>
      </c>
    </row>
    <row r="7" ht="20" customHeight="1">
      <c r="A7" s="15" t="inlineStr">
        <is>
          <t>Geothermal &amp; Wind Project Loans</t>
        </is>
      </c>
      <c r="B7" s="15" t="inlineStr">
        <is>
          <t>Zorlu Dogal / Generation SPVs</t>
        </is>
      </c>
      <c r="C7" s="15" t="inlineStr">
        <is>
          <t>Project Finance</t>
        </is>
      </c>
      <c r="D7" s="28" t="inlineStr">
        <is>
          <t>USD</t>
        </is>
      </c>
      <c r="E7" s="29" t="inlineStr">
        <is>
          <t>$80.0M</t>
        </is>
      </c>
      <c r="F7" s="16" t="n">
        <v>80</v>
      </c>
      <c r="G7" s="28" t="inlineStr">
        <is>
          <t>SOFR + 3.75%</t>
        </is>
      </c>
      <c r="H7" s="28" t="inlineStr">
        <is>
          <t>2028-2030</t>
        </is>
      </c>
      <c r="I7" s="15" t="inlineStr">
        <is>
          <t>Mortgages over Kızıldere/Alaşehir plant assets</t>
        </is>
      </c>
    </row>
    <row r="8" ht="20" customHeight="1">
      <c r="A8" s="30" t="inlineStr">
        <is>
          <t>Subtotal OpCo Senior Secured Claims</t>
        </is>
      </c>
      <c r="B8" s="31" t="n"/>
      <c r="C8" s="31" t="n"/>
      <c r="D8" s="31" t="n"/>
      <c r="E8" s="31" t="n"/>
      <c r="F8" s="18">
        <f>SUM(F5:F7)</f>
        <v/>
      </c>
      <c r="G8" s="31" t="n"/>
      <c r="H8" s="31" t="n"/>
      <c r="I8" s="32" t="inlineStr">
        <is>
          <t>Direct ring-fenced operating assets</t>
        </is>
      </c>
    </row>
    <row r="9" ht="20" customHeight="1">
      <c r="A9" s="10" t="inlineStr">
        <is>
          <t>2. INTERMEDIATE / HOLDCO SENIOR UNSECURED DEBT</t>
        </is>
      </c>
    </row>
    <row r="10" ht="20" customHeight="1">
      <c r="A10" s="15" t="inlineStr">
        <is>
          <t>Sustainability-Linked Eurobond (XS2926261426)</t>
        </is>
      </c>
      <c r="B10" s="15" t="inlineStr">
        <is>
          <t>Zorlu Enerji Elektrik Üretim A.Ş.</t>
        </is>
      </c>
      <c r="C10" s="15" t="inlineStr">
        <is>
          <t>RegS/144A Listed (Dublin/Frankfurt)</t>
        </is>
      </c>
      <c r="D10" s="28" t="inlineStr">
        <is>
          <t>USD</t>
        </is>
      </c>
      <c r="E10" s="29" t="inlineStr">
        <is>
          <t>$1,100.0M</t>
        </is>
      </c>
      <c r="F10" s="16" t="n">
        <v>1100</v>
      </c>
      <c r="G10" s="28" t="inlineStr">
        <is>
          <t>11.000%</t>
        </is>
      </c>
      <c r="H10" s="28" t="inlineStr">
        <is>
          <t>23-Apr-2030</t>
        </is>
      </c>
      <c r="I10" s="15" t="inlineStr">
        <is>
          <t>Senior Unsecured HoldCo; Structurally Subordinated</t>
        </is>
      </c>
    </row>
    <row r="11" ht="20" customHeight="1">
      <c r="A11" s="15" t="inlineStr">
        <is>
          <t>HoldCo Bilateral Bank Lines &amp; Overdrafts</t>
        </is>
      </c>
      <c r="B11" s="15" t="inlineStr">
        <is>
          <t>Zorlu Enerji Elektrik Üretim A.Ş.</t>
        </is>
      </c>
      <c r="C11" s="15" t="inlineStr">
        <is>
          <t>Turkish Commercial Banks</t>
        </is>
      </c>
      <c r="D11" s="28" t="inlineStr">
        <is>
          <t>TRY/USD</t>
        </is>
      </c>
      <c r="E11" s="29" t="inlineStr">
        <is>
          <t>Various</t>
        </is>
      </c>
      <c r="F11" s="16" t="n">
        <v>50</v>
      </c>
      <c r="G11" s="28" t="inlineStr">
        <is>
          <t>Fixed/Floating</t>
        </is>
      </c>
      <c r="H11" s="28" t="inlineStr">
        <is>
          <t>2026-2027</t>
        </is>
      </c>
      <c r="I11" s="15" t="inlineStr">
        <is>
          <t>Unsecured bank facilities</t>
        </is>
      </c>
    </row>
    <row r="12" ht="20" customHeight="1">
      <c r="A12" s="15" t="inlineStr">
        <is>
          <t>Local TRY Corporate Bonds &amp; Sukuk</t>
        </is>
      </c>
      <c r="B12" s="15" t="inlineStr">
        <is>
          <t>Zorlu Enerji Elektrik Üretim A.Ş.</t>
        </is>
      </c>
      <c r="C12" s="15" t="inlineStr">
        <is>
          <t>BIST Domestic Issuance</t>
        </is>
      </c>
      <c r="D12" s="28" t="inlineStr">
        <is>
          <t>TRY</t>
        </is>
      </c>
      <c r="E12" s="29" t="inlineStr">
        <is>
          <t>3,650.0M</t>
        </is>
      </c>
      <c r="F12" s="16" t="n">
        <v>75</v>
      </c>
      <c r="G12" s="28" t="inlineStr">
        <is>
          <t>TLREF + 3.5%</t>
        </is>
      </c>
      <c r="H12" s="28" t="inlineStr">
        <is>
          <t>2026-2027</t>
        </is>
      </c>
      <c r="I12" s="15" t="inlineStr">
        <is>
          <t>Domestic unsecured paper</t>
        </is>
      </c>
    </row>
    <row r="13" ht="20" customHeight="1">
      <c r="A13" s="30" t="inlineStr">
        <is>
          <t>Subtotal HoldCo Senior Unsecured Claims</t>
        </is>
      </c>
      <c r="B13" s="31" t="n"/>
      <c r="C13" s="31" t="n"/>
      <c r="D13" s="31" t="n"/>
      <c r="E13" s="31" t="n"/>
      <c r="F13" s="18">
        <f>SUM(F10:F12)</f>
        <v/>
      </c>
      <c r="G13" s="31" t="n"/>
      <c r="H13" s="31" t="n"/>
      <c r="I13" s="32" t="inlineStr">
        <is>
          <t>Junior to OpCo claims upon liquidation</t>
        </is>
      </c>
    </row>
    <row r="14" ht="20" customHeight="1">
      <c r="A14" s="10" t="inlineStr">
        <is>
          <t>3. TOTAL DEBT &amp; CASH SUMMARY</t>
        </is>
      </c>
    </row>
    <row r="15" ht="20" customHeight="1">
      <c r="A15" s="33" t="inlineStr">
        <is>
          <t>Total Gross Financial Debt</t>
        </is>
      </c>
      <c r="B15" s="34" t="n"/>
      <c r="C15" s="34" t="n"/>
      <c r="D15" s="34" t="n"/>
      <c r="E15" s="34" t="n"/>
      <c r="F15" s="35">
        <f>F8+F13</f>
        <v/>
      </c>
      <c r="G15" s="34" t="n"/>
      <c r="H15" s="34" t="n"/>
      <c r="I15" s="36" t="inlineStr">
        <is>
          <t>Combined enterprise indebtedness</t>
        </is>
      </c>
    </row>
    <row r="16" ht="20" customHeight="1">
      <c r="A16" s="37" t="inlineStr">
        <is>
          <t>Less: Unrestricted Cash &amp; Cash Equivalents</t>
        </is>
      </c>
      <c r="B16" s="4" t="n"/>
      <c r="C16" s="4" t="n"/>
      <c r="D16" s="4" t="n"/>
      <c r="E16" s="4" t="n"/>
      <c r="F16" s="21" t="n">
        <v>-150</v>
      </c>
      <c r="G16" s="4" t="n"/>
      <c r="H16" s="4" t="n"/>
      <c r="I16" s="38" t="inlineStr">
        <is>
          <t>HoldCo &amp; central treasury liquidity</t>
        </is>
      </c>
    </row>
    <row r="17" ht="20" customHeight="1">
      <c r="A17" s="37" t="inlineStr">
        <is>
          <t>Less: OpCo Restricted Cash / DSRA</t>
        </is>
      </c>
      <c r="B17" s="4" t="n"/>
      <c r="C17" s="4" t="n"/>
      <c r="D17" s="4" t="n"/>
      <c r="E17" s="4" t="n"/>
      <c r="F17" s="21" t="n">
        <v>-80</v>
      </c>
      <c r="G17" s="4" t="n"/>
      <c r="H17" s="4" t="n"/>
      <c r="I17" s="38" t="inlineStr">
        <is>
          <t>Trapped in OEDAŞ &amp; Project debt reserves</t>
        </is>
      </c>
    </row>
    <row r="18" ht="20" customHeight="1">
      <c r="A18" s="33" t="inlineStr">
        <is>
          <t>Total Net Financial Debt</t>
        </is>
      </c>
      <c r="B18" s="34" t="n"/>
      <c r="C18" s="34" t="n"/>
      <c r="D18" s="34" t="n"/>
      <c r="E18" s="34" t="n"/>
      <c r="F18" s="35">
        <f>F15+F16+F17</f>
        <v/>
      </c>
      <c r="G18" s="34" t="n"/>
      <c r="H18" s="34" t="n"/>
      <c r="I18" s="36" t="inlineStr">
        <is>
          <t>Net claim against enterprise value</t>
        </is>
      </c>
    </row>
  </sheetData>
  <mergeCells count="4">
    <mergeCell ref="A1:I1"/>
    <mergeCell ref="A4:I4"/>
    <mergeCell ref="A14:I14"/>
    <mergeCell ref="A9:I9"/>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6"/>
  <sheetViews>
    <sheetView showGridLines="1" workbookViewId="0">
      <selection activeCell="A1" sqref="A1"/>
    </sheetView>
  </sheetViews>
  <sheetFormatPr baseColWidth="8" defaultRowHeight="15"/>
  <cols>
    <col width="38" customWidth="1" min="1" max="1"/>
    <col width="8" customWidth="1" min="2" max="2"/>
    <col width="22" customWidth="1" min="3" max="3"/>
    <col width="22" customWidth="1" min="4" max="4"/>
    <col width="22" customWidth="1" min="5" max="5"/>
    <col width="44" customWidth="1" min="6" max="6"/>
  </cols>
  <sheetData>
    <row r="1" ht="28" customHeight="1">
      <c r="A1" s="1" t="inlineStr">
        <is>
          <t>ZORLU ENERJİ — DISTRESSED ENTERPRISE VALUE &amp; EUROBOND RECOVERY WATERFALL</t>
        </is>
      </c>
    </row>
    <row r="3">
      <c r="A3" s="11" t="inlineStr">
        <is>
          <t>Recovery Waterfall Line Item</t>
        </is>
      </c>
      <c r="B3" s="11" t="inlineStr">
        <is>
          <t>Ref</t>
        </is>
      </c>
      <c r="C3" s="11" t="inlineStr">
        <is>
          <t>Downside Restructuring</t>
        </is>
      </c>
      <c r="D3" s="11" t="inlineStr">
        <is>
          <t>Base Case Restructuring</t>
        </is>
      </c>
      <c r="E3" s="11" t="inlineStr">
        <is>
          <t>Upside / Orderly Sale</t>
        </is>
      </c>
      <c r="F3" s="11" t="inlineStr">
        <is>
          <t>Methodology / Valuation Rationale</t>
        </is>
      </c>
    </row>
    <row r="4" ht="21" customHeight="1">
      <c r="A4" s="10" t="inlineStr">
        <is>
          <t>STEP 1: DISTRESSED ENTERPRISE VALUE (EV)</t>
        </is>
      </c>
    </row>
    <row r="5" ht="21" customHeight="1">
      <c r="A5" s="15" t="inlineStr">
        <is>
          <t>Normalized / Stressed Operational USD EBITDA ($ mn)</t>
        </is>
      </c>
      <c r="B5" s="39" t="inlineStr">
        <is>
          <t>R5</t>
        </is>
      </c>
      <c r="C5" s="16" t="n">
        <v>230</v>
      </c>
      <c r="D5" s="16" t="n">
        <v>275</v>
      </c>
      <c r="E5" s="16" t="n">
        <v>305</v>
      </c>
      <c r="F5" s="40" t="inlineStr">
        <is>
          <t>Stressed LTM run-rate after management haircut</t>
        </is>
      </c>
    </row>
    <row r="6" ht="21" customHeight="1">
      <c r="A6" s="15" t="inlineStr">
        <is>
          <t>Implied Distressed EV/EBITDA Multiple</t>
        </is>
      </c>
      <c r="B6" s="39" t="inlineStr">
        <is>
          <t>R6</t>
        </is>
      </c>
      <c r="C6" s="23" t="n">
        <v>4.5</v>
      </c>
      <c r="D6" s="23" t="n">
        <v>5.25</v>
      </c>
      <c r="E6" s="23" t="n">
        <v>6</v>
      </c>
      <c r="F6" s="40" t="inlineStr">
        <is>
          <t>Discounted peer multiples (peers trade at 7.0-8.0x)</t>
        </is>
      </c>
    </row>
    <row r="7" ht="21" customHeight="1">
      <c r="A7" s="15" t="inlineStr">
        <is>
          <t>Gross Distressed Enterprise Value ($ mn)</t>
        </is>
      </c>
      <c r="B7" s="39" t="inlineStr">
        <is>
          <t>R7</t>
        </is>
      </c>
      <c r="C7" s="18">
        <f>C5*C6</f>
        <v/>
      </c>
      <c r="D7" s="18">
        <f>D5*D6</f>
        <v/>
      </c>
      <c r="E7" s="18">
        <f>E5*E6</f>
        <v/>
      </c>
      <c r="F7" s="40" t="inlineStr">
        <is>
          <t>Operational Going-Concern EV at restructuring</t>
        </is>
      </c>
    </row>
    <row r="8" ht="21" customHeight="1">
      <c r="A8" s="15" t="inlineStr">
        <is>
          <t>Less: Restructuring &amp; Advisory Friction Costs</t>
        </is>
      </c>
      <c r="B8" s="39" t="inlineStr">
        <is>
          <t>R8</t>
        </is>
      </c>
      <c r="C8" s="21" t="n">
        <v>-75</v>
      </c>
      <c r="D8" s="21" t="n">
        <v>-50</v>
      </c>
      <c r="E8" s="21" t="n">
        <v>-35</v>
      </c>
      <c r="F8" s="40" t="inlineStr">
        <is>
          <t>Houlihan Lokey, Servo, legal counsel, DIP fee (3-7% of EV)</t>
        </is>
      </c>
    </row>
    <row r="9" ht="21" customHeight="1">
      <c r="A9" s="15" t="inlineStr">
        <is>
          <t>Plus: Unrestricted Non-Operating Cash ($ mn)</t>
        </is>
      </c>
      <c r="B9" s="39" t="inlineStr">
        <is>
          <t>R9</t>
        </is>
      </c>
      <c r="C9" s="16" t="n">
        <v>100</v>
      </c>
      <c r="D9" s="16" t="n">
        <v>150</v>
      </c>
      <c r="E9" s="16" t="n">
        <v>175</v>
      </c>
      <c r="F9" s="40" t="inlineStr">
        <is>
          <t>HoldCo accessible cash (excluding trapped OpCo DSRA)</t>
        </is>
      </c>
    </row>
    <row r="10" ht="21" customHeight="1">
      <c r="A10" s="17" t="inlineStr">
        <is>
          <t>Adjusted Distributable Enterprise Value ($ mn)</t>
        </is>
      </c>
      <c r="B10" s="39" t="inlineStr">
        <is>
          <t>R10</t>
        </is>
      </c>
      <c r="C10" s="18">
        <f>SUM(C7:C9)</f>
        <v/>
      </c>
      <c r="D10" s="18">
        <f>SUM(D7:D9)</f>
        <v/>
      </c>
      <c r="E10" s="18">
        <f>SUM(E7:E9)</f>
        <v/>
      </c>
      <c r="F10" s="40" t="inlineStr">
        <is>
          <t>Total cash &amp; asset value available to all claimants</t>
        </is>
      </c>
    </row>
    <row r="11" ht="21" customHeight="1">
      <c r="A11" s="10" t="inlineStr">
        <is>
          <t>STEP 2: PRIORITY CLAIMS (SENIOR TO HOLDCO EUROBOND)</t>
        </is>
      </c>
    </row>
    <row r="12" ht="21" customHeight="1">
      <c r="A12" s="15" t="inlineStr">
        <is>
          <t>OpCo Senior Secured Debt (ADB Loan $115M + Bank Capex)</t>
        </is>
      </c>
      <c r="B12" s="39" t="inlineStr">
        <is>
          <t>R12</t>
        </is>
      </c>
      <c r="C12" s="21" t="n">
        <v>-250</v>
      </c>
      <c r="D12" s="21" t="n">
        <v>-250</v>
      </c>
      <c r="E12" s="21" t="n">
        <v>-250</v>
      </c>
      <c r="F12" s="40" t="inlineStr">
        <is>
          <t>OEDAŞ ring-fenced debt (100% covered by utility assets)</t>
        </is>
      </c>
    </row>
    <row r="13" ht="21" customHeight="1">
      <c r="A13" s="15" t="inlineStr">
        <is>
          <t>Geothermal &amp; Renewable Project Finance Senior Debt</t>
        </is>
      </c>
      <c r="B13" s="39" t="inlineStr">
        <is>
          <t>R13</t>
        </is>
      </c>
      <c r="C13" s="21" t="n">
        <v>-80</v>
      </c>
      <c r="D13" s="21" t="n">
        <v>-80</v>
      </c>
      <c r="E13" s="21" t="n">
        <v>-80</v>
      </c>
      <c r="F13" s="40" t="inlineStr">
        <is>
          <t>Plant mortgages at project SPVs (100% recovered)</t>
        </is>
      </c>
    </row>
    <row r="14" ht="21" customHeight="1">
      <c r="A14" s="17" t="inlineStr">
        <is>
          <t>Total Priority Senior OpCo Claims ($ mn)</t>
        </is>
      </c>
      <c r="B14" s="39" t="inlineStr">
        <is>
          <t>R14</t>
        </is>
      </c>
      <c r="C14" s="41">
        <f>SUM(C12:C13)</f>
        <v/>
      </c>
      <c r="D14" s="41">
        <f>SUM(D12:D13)</f>
        <v/>
      </c>
      <c r="E14" s="41">
        <f>SUM(E12:E13)</f>
        <v/>
      </c>
      <c r="F14" s="40" t="inlineStr">
        <is>
          <t>Fully senior structurally secured obligations</t>
        </is>
      </c>
    </row>
    <row r="15" ht="21" customHeight="1">
      <c r="A15" s="10" t="inlineStr">
        <is>
          <t>STEP 3: NET ENTERPRISE VALUE FOR HOLDCO UNSECURED CREDITORS</t>
        </is>
      </c>
    </row>
    <row r="16" ht="21" customHeight="1">
      <c r="A16" s="15" t="inlineStr">
        <is>
          <t>Net EV Available to HoldCo Unsecured Pool ($ mn)</t>
        </is>
      </c>
      <c r="B16" s="39" t="inlineStr">
        <is>
          <t>R16</t>
        </is>
      </c>
      <c r="C16" s="18">
        <f>C10+C14</f>
        <v/>
      </c>
      <c r="D16" s="18">
        <f>D10+D14</f>
        <v/>
      </c>
      <c r="E16" s="18">
        <f>E10+E14</f>
        <v/>
      </c>
      <c r="F16" s="40" t="inlineStr">
        <is>
          <t>Distributable value flowing to Zorlu Enerji HoldCo</t>
        </is>
      </c>
    </row>
    <row r="17" ht="21" customHeight="1">
      <c r="A17" s="10" t="inlineStr">
        <is>
          <t>STEP 4: UNSECURED CLAIMS POOL (PARI PASSU)</t>
        </is>
      </c>
    </row>
    <row r="18" ht="21" customHeight="1">
      <c r="A18" s="15" t="inlineStr">
        <is>
          <t>Zorlu Enerji 11% 2030 Eurobond (XS2926261426)</t>
        </is>
      </c>
      <c r="B18" s="39" t="inlineStr">
        <is>
          <t>R18</t>
        </is>
      </c>
      <c r="C18" s="16" t="n">
        <v>1100</v>
      </c>
      <c r="D18" s="16" t="n">
        <v>1100</v>
      </c>
      <c r="E18" s="16" t="n">
        <v>1100</v>
      </c>
      <c r="F18" s="40" t="inlineStr">
        <is>
          <t>Face value of outstanding Eurobond notes</t>
        </is>
      </c>
    </row>
    <row r="19" ht="21" customHeight="1">
      <c r="A19" s="15" t="inlineStr">
        <is>
          <t>HoldCo Bilateral Bank Lines &amp; Overdrafts</t>
        </is>
      </c>
      <c r="B19" s="39" t="inlineStr">
        <is>
          <t>R19</t>
        </is>
      </c>
      <c r="C19" s="16" t="n">
        <v>50</v>
      </c>
      <c r="D19" s="16" t="n">
        <v>50</v>
      </c>
      <c r="E19" s="16" t="n">
        <v>50</v>
      </c>
      <c r="F19" s="40" t="inlineStr">
        <is>
          <t>Direct bank lines at HoldCo level</t>
        </is>
      </c>
    </row>
    <row r="20" ht="21" customHeight="1">
      <c r="A20" s="15" t="inlineStr">
        <is>
          <t>Domestic TRY Bonds &amp; Sukuk</t>
        </is>
      </c>
      <c r="B20" s="39" t="inlineStr">
        <is>
          <t>R20</t>
        </is>
      </c>
      <c r="C20" s="16" t="n">
        <v>75</v>
      </c>
      <c r="D20" s="16" t="n">
        <v>75</v>
      </c>
      <c r="E20" s="16" t="n">
        <v>75</v>
      </c>
      <c r="F20" s="40" t="inlineStr">
        <is>
          <t>Domestic paper claims ranking pari passu</t>
        </is>
      </c>
    </row>
    <row r="21" ht="21" customHeight="1">
      <c r="A21" s="17" t="inlineStr">
        <is>
          <t>Total Senior Unsecured Claims Pool ($ mn)</t>
        </is>
      </c>
      <c r="B21" s="39" t="inlineStr">
        <is>
          <t>R21</t>
        </is>
      </c>
      <c r="C21" s="18">
        <f>SUM(C18:C20)</f>
        <v/>
      </c>
      <c r="D21" s="18">
        <f>SUM(D18:D20)</f>
        <v/>
      </c>
      <c r="E21" s="18">
        <f>SUM(E18:E20)</f>
        <v/>
      </c>
      <c r="F21" s="40" t="inlineStr">
        <is>
          <t>Total pari passu unsecured class</t>
        </is>
      </c>
    </row>
    <row r="22" ht="21" customHeight="1">
      <c r="A22" s="10" t="inlineStr">
        <is>
          <t>STEP 5: RECOVERY CALCULATION &amp; SENSITIVITY</t>
        </is>
      </c>
    </row>
    <row r="23" ht="21" customHeight="1">
      <c r="A23" s="17" t="inlineStr">
        <is>
          <t>Eurobond Recovery Percentage (%)</t>
        </is>
      </c>
      <c r="B23" s="39" t="inlineStr">
        <is>
          <t>R23</t>
        </is>
      </c>
      <c r="C23" s="42">
        <f>C16/C21</f>
        <v/>
      </c>
      <c r="D23" s="42">
        <f>D16/D21</f>
        <v/>
      </c>
      <c r="E23" s="42">
        <f>MIN(1.0, E16/E21)</f>
        <v/>
      </c>
      <c r="F23" s="40" t="inlineStr">
        <is>
          <t>Implied recovery rate for Eurobond holders</t>
        </is>
      </c>
    </row>
    <row r="24" ht="21" customHeight="1">
      <c r="A24" s="17" t="inlineStr">
        <is>
          <t>Implied Eurobond Value (Cents on the Dollar)</t>
        </is>
      </c>
      <c r="B24" s="39" t="inlineStr">
        <is>
          <t>R24</t>
        </is>
      </c>
      <c r="C24" s="43">
        <f>C23*100</f>
        <v/>
      </c>
      <c r="D24" s="43">
        <f>D23*100</f>
        <v/>
      </c>
      <c r="E24" s="43">
        <f>E23*100</f>
        <v/>
      </c>
      <c r="F24" s="40" t="inlineStr">
        <is>
          <t>Fair restructuring price per $100 par</t>
        </is>
      </c>
    </row>
    <row r="25" ht="21" customHeight="1">
      <c r="A25" s="15" t="inlineStr">
        <is>
          <t>Current Secondary Market Trading Price (Cents)</t>
        </is>
      </c>
      <c r="B25" s="39" t="inlineStr">
        <is>
          <t>R25</t>
        </is>
      </c>
      <c r="C25" s="44" t="n">
        <v>63.5</v>
      </c>
      <c r="D25" s="44" t="n">
        <v>63.5</v>
      </c>
      <c r="E25" s="44" t="n">
        <v>63.5</v>
      </c>
      <c r="F25" s="40" t="inlineStr">
        <is>
          <t>Trading price post Houlihan appointment (Sep 2026)</t>
        </is>
      </c>
    </row>
    <row r="26" ht="21" customHeight="1">
      <c r="A26" s="15" t="inlineStr">
        <is>
          <t>Implied Upside / (Downside) vs Current Price (%)</t>
        </is>
      </c>
      <c r="B26" s="39" t="inlineStr">
        <is>
          <t>R26</t>
        </is>
      </c>
      <c r="C26" s="45">
        <f>(C24-C25)/C25</f>
        <v/>
      </c>
      <c r="D26" s="46">
        <f>(D24-D25)/D25</f>
        <v/>
      </c>
      <c r="E26" s="46">
        <f>(E24-E25)/E25</f>
        <v/>
      </c>
      <c r="F26" s="40" t="inlineStr">
        <is>
          <t>Risk-adjusted return profile for distressed buyer</t>
        </is>
      </c>
    </row>
  </sheetData>
  <mergeCells count="6">
    <mergeCell ref="A11:F11"/>
    <mergeCell ref="A1:G1"/>
    <mergeCell ref="A22:F22"/>
    <mergeCell ref="A17:F17"/>
    <mergeCell ref="A4:F4"/>
    <mergeCell ref="A15:F15"/>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36"/>
  <sheetViews>
    <sheetView showGridLines="1" workbookViewId="0">
      <selection activeCell="A1" sqref="A1"/>
    </sheetView>
  </sheetViews>
  <sheetFormatPr baseColWidth="8" defaultRowHeight="15"/>
  <cols>
    <col width="26" customWidth="1" min="1" max="1"/>
    <col width="26" customWidth="1" min="2" max="2"/>
    <col width="26" customWidth="1" min="3" max="3"/>
    <col width="28" customWidth="1" min="4" max="4"/>
    <col width="28" customWidth="1" min="5" max="5"/>
  </cols>
  <sheetData>
    <row r="1" ht="28" customHeight="1">
      <c r="A1" s="1" t="inlineStr">
        <is>
          <t>ZORLU ENERJİ — RESTRUCTURING PATHWAYS &amp; VALUATION ALIGNMENT</t>
        </is>
      </c>
    </row>
    <row r="2" ht="18" customHeight="1">
      <c r="A2" s="2" t="inlineStr">
        <is>
          <t>Bridging Static Enterprise Recovery to Realistic Workouts: Extension, Haircut, Coupon PIK, Timeline &amp; NPV Analysis</t>
        </is>
      </c>
    </row>
    <row r="4" ht="20" customHeight="1">
      <c r="A4" s="10" t="inlineStr">
        <is>
          <t>1. COMPARATIVE MATRIX: THE FOUR RESTRUCTURING PATHWAYS</t>
        </is>
      </c>
    </row>
    <row r="5" ht="24" customHeight="1">
      <c r="A5" s="11" t="inlineStr">
        <is>
          <t>Restructuring Dimension</t>
        </is>
      </c>
      <c r="B5" s="11" t="inlineStr">
        <is>
          <t>Pathway 1: Pure Amend &amp; Extend</t>
        </is>
      </c>
      <c r="C5" s="11" t="inlineStr">
        <is>
          <t>Pathway 2: Nominal Haircut + Clean Debt</t>
        </is>
      </c>
      <c r="D5" s="11" t="inlineStr">
        <is>
          <t>Pathway 3: Hybrid (Haircut + PIK + Extend)</t>
        </is>
      </c>
      <c r="E5" s="11" t="inlineStr">
        <is>
          <t>Pathway 4: Stalling / Contested Workout</t>
        </is>
      </c>
    </row>
    <row r="6" ht="26" customHeight="1">
      <c r="A6" s="73" t="inlineStr">
        <is>
          <t>Core Strategy</t>
        </is>
      </c>
      <c r="B6" s="12" t="inlineStr">
        <is>
          <t>Preserve 100% principal; extend maturity &amp; defer cash coupons</t>
        </is>
      </c>
      <c r="C6" s="12" t="inlineStr">
        <is>
          <t>Right-size balance sheet with immediate principal reduction</t>
        </is>
      </c>
      <c r="D6" s="74" t="inlineStr">
        <is>
          <t>Balanced compromise: moderate haircut, coupon PIK &amp; asset sale sweep</t>
        </is>
      </c>
      <c r="E6" s="12" t="inlineStr">
        <is>
          <t>Protracted dispute, litigation risk or Turkish konkordato</t>
        </is>
      </c>
    </row>
    <row r="7" ht="26" customHeight="1">
      <c r="A7" s="73" t="inlineStr">
        <is>
          <t>Maturity Date</t>
        </is>
      </c>
      <c r="B7" s="13" t="inlineStr">
        <is>
          <t>Extended to April 2034 (+4 years)</t>
        </is>
      </c>
      <c r="C7" s="13" t="inlineStr">
        <is>
          <t>Extended to April 2032 (+2 years)</t>
        </is>
      </c>
      <c r="D7" s="74" t="inlineStr">
        <is>
          <t>Extended to April 2033 (+3 years)</t>
        </is>
      </c>
      <c r="E7" s="13" t="inlineStr">
        <is>
          <t>Indeterminate (Default / standstill)</t>
        </is>
      </c>
    </row>
    <row r="8" ht="26" customHeight="1">
      <c r="A8" s="73" t="inlineStr">
        <is>
          <t>Nominal Principal Haircut (%)</t>
        </is>
      </c>
      <c r="B8" s="12" t="inlineStr">
        <is>
          <t>0.0% (Zero face value write-down)</t>
        </is>
      </c>
      <c r="C8" s="12" t="inlineStr">
        <is>
          <t>25.0% - 30.0% Principal write-off</t>
        </is>
      </c>
      <c r="D8" s="74" t="inlineStr">
        <is>
          <t>15.0% Principal write-off</t>
        </is>
      </c>
      <c r="E8" s="12" t="inlineStr">
        <is>
          <t>35.0% - 45.0% Imposed / Distressed haircut</t>
        </is>
      </c>
    </row>
    <row r="9" ht="26" customHeight="1">
      <c r="A9" s="73" t="inlineStr">
        <is>
          <t>Coupon Structure</t>
        </is>
      </c>
      <c r="B9" s="13" t="inlineStr">
        <is>
          <t>4.0% Cash + 7.0% PIK (Years 1-3); then 10% Cash</t>
        </is>
      </c>
      <c r="C9" s="13" t="inlineStr">
        <is>
          <t>8.50% All-Cash Coupon (Sustainable on lower debt)</t>
        </is>
      </c>
      <c r="D9" s="74" t="inlineStr">
        <is>
          <t>5.0% Cash + 5.5% PIK (Years 1-3); then 9.5% Cash</t>
        </is>
      </c>
      <c r="E9" s="13" t="inlineStr">
        <is>
          <t>Coupon frozen during standstill / DIP priority</t>
        </is>
      </c>
    </row>
    <row r="10" ht="26" customHeight="1">
      <c r="A10" s="73" t="inlineStr">
        <is>
          <t>Asset Sale / Deleveraging Sweep</t>
        </is>
      </c>
      <c r="B10" s="12" t="inlineStr">
        <is>
          <t>Non-binding best efforts on Israel/ZES</t>
        </is>
      </c>
      <c r="C10" s="12" t="inlineStr">
        <is>
          <t>50% of asset sales dedicated to debt buybacks</t>
        </is>
      </c>
      <c r="D10" s="74" t="inlineStr">
        <is>
          <t>Mandatory 80% net proceeds swept into debt tender</t>
        </is>
      </c>
      <c r="E10" s="12" t="inlineStr">
        <is>
          <t>Asset values deteriorate under forced sale</t>
        </is>
      </c>
    </row>
    <row r="11" ht="26" customHeight="1">
      <c r="A11" s="73" t="inlineStr">
        <is>
          <t>Expected Time to Close</t>
        </is>
      </c>
      <c r="B11" s="13" t="inlineStr">
        <is>
          <t>4 to 6 Months (Consensual exchange)</t>
        </is>
      </c>
      <c r="C11" s="13" t="inlineStr">
        <is>
          <t>8 to 12 Months (Tough creditor negotiations)</t>
        </is>
      </c>
      <c r="D11" s="74" t="inlineStr">
        <is>
          <t>6 to 9 Months (Standard Houlihan workout playbook)</t>
        </is>
      </c>
      <c r="E11" s="13" t="inlineStr">
        <is>
          <t>18 to 24+ Months (Hostile / insolvency filing)</t>
        </is>
      </c>
    </row>
    <row r="12" ht="26" customHeight="1">
      <c r="A12" s="73" t="inlineStr">
        <is>
          <t>Execution Vehicle</t>
        </is>
      </c>
      <c r="B12" s="12" t="inlineStr">
        <is>
          <t>English Law CAC (75% threshold exchange offer)</t>
        </is>
      </c>
      <c r="C12" s="12" t="inlineStr">
        <is>
          <t>Scheme of Arrangement / English Part 26A Plan</t>
        </is>
      </c>
      <c r="D12" s="74" t="inlineStr">
        <is>
          <t>Consent solicitation + exchange offer (75% CAC)</t>
        </is>
      </c>
      <c r="E12" s="12" t="inlineStr">
        <is>
          <t>Turkish court concordat / contested cross-default</t>
        </is>
      </c>
    </row>
    <row r="13" ht="26" customHeight="1">
      <c r="A13" s="73" t="inlineStr">
        <is>
          <t>Sponsor / Group Equity Concession</t>
        </is>
      </c>
      <c r="B13" s="13" t="inlineStr">
        <is>
          <t>HoldCo equity intact; no dilution</t>
        </is>
      </c>
      <c r="C13" s="13" t="inlineStr">
        <is>
          <t>Sponsor diluted 15-20% via equity/warrant kicker</t>
        </is>
      </c>
      <c r="D13" s="74" t="inlineStr">
        <is>
          <t>Sponsor provides 5-10% warrant kicker to bondholders</t>
        </is>
      </c>
      <c r="E13" s="13" t="inlineStr">
        <is>
          <t>Sponsor loses control or undergoes debt-for-equity wipeout</t>
        </is>
      </c>
    </row>
    <row r="15" ht="20" customHeight="1">
      <c r="A15" s="10" t="inlineStr">
        <is>
          <t>2. VALUATION ENGINE: ECONOMIC NPV &amp; REALIZED RECOVERY ACROSS PATHWAYS</t>
        </is>
      </c>
    </row>
    <row r="16" ht="22" customHeight="1">
      <c r="A16" s="11" t="inlineStr">
        <is>
          <t>Valuation &amp; Cash Flow Metric</t>
        </is>
      </c>
      <c r="B16" s="11" t="inlineStr">
        <is>
          <t>Pathway 1: Amend &amp; Extend</t>
        </is>
      </c>
      <c r="C16" s="11" t="inlineStr">
        <is>
          <t>Pathway 2: Hard Haircut</t>
        </is>
      </c>
      <c r="D16" s="11" t="inlineStr">
        <is>
          <t>Pathway 3: Hybrid Playbook (Base)</t>
        </is>
      </c>
      <c r="E16" s="11" t="inlineStr">
        <is>
          <t>Pathway 4: Stalled / Litigation</t>
        </is>
      </c>
    </row>
    <row r="17" ht="21" customHeight="1">
      <c r="A17" s="15" t="inlineStr">
        <is>
          <t>New Instrument Face Value per $100 Par</t>
        </is>
      </c>
      <c r="B17" s="16" t="n">
        <v>100</v>
      </c>
      <c r="C17" s="16" t="n">
        <v>72.5</v>
      </c>
      <c r="D17" s="16" t="n">
        <v>85</v>
      </c>
      <c r="E17" s="16" t="n">
        <v>60</v>
      </c>
    </row>
    <row r="18" ht="21" customHeight="1">
      <c r="A18" s="15" t="inlineStr">
        <is>
          <t>Annual Cash Coupon Paid ($ per $100 Par)</t>
        </is>
      </c>
      <c r="B18" s="16" t="n">
        <v>4</v>
      </c>
      <c r="C18" s="16" t="n">
        <v>6.16</v>
      </c>
      <c r="D18" s="16" t="n">
        <v>4.25</v>
      </c>
      <c r="E18" s="16" t="n">
        <v>0</v>
      </c>
    </row>
    <row r="19" ht="21" customHeight="1">
      <c r="A19" s="15" t="inlineStr">
        <is>
          <t>Annual PIK Accretion ($ per $100 Par)</t>
        </is>
      </c>
      <c r="B19" s="16" t="n">
        <v>7</v>
      </c>
      <c r="C19" s="16" t="n">
        <v>0</v>
      </c>
      <c r="D19" s="16" t="n">
        <v>4.68</v>
      </c>
      <c r="E19" s="16" t="n">
        <v>0</v>
      </c>
    </row>
    <row r="20" ht="21" customHeight="1">
      <c r="A20" s="15" t="inlineStr">
        <is>
          <t>Exit Yield / Post-Restructuring Discount Rate (%)</t>
        </is>
      </c>
      <c r="B20" s="75" t="n">
        <v>0.2</v>
      </c>
      <c r="C20" s="75" t="n">
        <v>0.16</v>
      </c>
      <c r="D20" s="75" t="n">
        <v>0.17</v>
      </c>
      <c r="E20" s="75" t="n">
        <v>0.28</v>
      </c>
    </row>
    <row r="21" ht="21" customHeight="1">
      <c r="A21" s="15" t="inlineStr">
        <is>
          <t>Restructuring Duration / Negotiation Lag (Years)</t>
        </is>
      </c>
      <c r="B21" s="27" t="n">
        <v>0.5</v>
      </c>
      <c r="C21" s="27" t="n">
        <v>0.85</v>
      </c>
      <c r="D21" s="27" t="n">
        <v>0.65</v>
      </c>
      <c r="E21" s="27" t="n">
        <v>1.75</v>
      </c>
    </row>
    <row r="22" ht="21" customHeight="1">
      <c r="A22" s="15" t="inlineStr">
        <is>
          <t>Interim Time-Value Discount Factor</t>
        </is>
      </c>
      <c r="B22" s="77">
        <f>(1/(1+B20))^B21</f>
        <v/>
      </c>
      <c r="C22" s="77">
        <f>(1/(1+C20))^C21</f>
        <v/>
      </c>
      <c r="D22" s="77">
        <f>(1/(1+D20))^D21</f>
        <v/>
      </c>
      <c r="E22" s="77">
        <f>(1/(1+E20))^E21</f>
        <v/>
      </c>
    </row>
    <row r="23" ht="21" customHeight="1">
      <c r="A23" s="15" t="inlineStr">
        <is>
          <t>Trading Price of New Notes (% of New Face Value)</t>
        </is>
      </c>
      <c r="B23" s="81" t="n">
        <v>68.5</v>
      </c>
      <c r="C23" s="81" t="n">
        <v>90</v>
      </c>
      <c r="D23" s="81" t="n">
        <v>84</v>
      </c>
      <c r="E23" s="81" t="n">
        <v>55</v>
      </c>
    </row>
    <row r="24" ht="21" customHeight="1">
      <c r="A24" s="15" t="inlineStr">
        <is>
          <t>Gross Realized Value of Restructured Package</t>
        </is>
      </c>
      <c r="B24" s="50">
        <f>B17*(B23/100)</f>
        <v/>
      </c>
      <c r="C24" s="50">
        <f>C17*(C23/100)</f>
        <v/>
      </c>
      <c r="D24" s="50">
        <f>D17*(D23/100)</f>
        <v/>
      </c>
      <c r="E24" s="50">
        <f>E17*(E23/100)</f>
        <v/>
      </c>
    </row>
    <row r="25" ht="21" customHeight="1">
      <c r="A25" s="15" t="inlineStr">
        <is>
          <t>Less: Advisory, Legal &amp; Work-fee Drag ($)</t>
        </is>
      </c>
      <c r="B25" s="21" t="n">
        <v>-2</v>
      </c>
      <c r="C25" s="21" t="n">
        <v>-3.5</v>
      </c>
      <c r="D25" s="21" t="n">
        <v>-2.5</v>
      </c>
      <c r="E25" s="21" t="n">
        <v>-6</v>
      </c>
    </row>
    <row r="26" ht="21" customHeight="1">
      <c r="A26" s="15" t="inlineStr">
        <is>
          <t>Plus: Equity / Warrant Kicker Value ($)</t>
        </is>
      </c>
      <c r="B26" s="16" t="n">
        <v>0</v>
      </c>
      <c r="C26" s="16" t="n">
        <v>4.5</v>
      </c>
      <c r="D26" s="16" t="n">
        <v>2.5</v>
      </c>
      <c r="E26" s="16" t="n">
        <v>0</v>
      </c>
    </row>
    <row r="27" ht="21" customHeight="1">
      <c r="A27" s="17" t="inlineStr">
        <is>
          <t>Net Economic Recovery (Cents on the Dollar)</t>
        </is>
      </c>
      <c r="B27" s="78">
        <f>B24*B22+B25+B26</f>
        <v/>
      </c>
      <c r="C27" s="78">
        <f>C24*C22+C25+C26</f>
        <v/>
      </c>
      <c r="D27" s="78">
        <f>D24*D22+D25+D26</f>
        <v/>
      </c>
      <c r="E27" s="78">
        <f>E24*E22+E25+E26</f>
        <v/>
      </c>
    </row>
    <row r="28" ht="21" customHeight="1">
      <c r="A28" s="15" t="inlineStr">
        <is>
          <t>Current Trading Price (Cents on the Dollar)</t>
        </is>
      </c>
      <c r="B28" s="44" t="n">
        <v>63.5</v>
      </c>
      <c r="C28" s="44" t="n">
        <v>63.5</v>
      </c>
      <c r="D28" s="44" t="n">
        <v>63.5</v>
      </c>
      <c r="E28" s="44" t="n">
        <v>63.5</v>
      </c>
    </row>
    <row r="29" ht="21" customHeight="1">
      <c r="A29" s="17" t="inlineStr">
        <is>
          <t>Net Upside / (Downside) vs Current Price (%)</t>
        </is>
      </c>
      <c r="B29" s="79">
        <f>(B27-B28)/B28</f>
        <v/>
      </c>
      <c r="C29" s="79">
        <f>(C27-C28)/C28</f>
        <v/>
      </c>
      <c r="D29" s="79">
        <f>(D27-D28)/D28</f>
        <v/>
      </c>
      <c r="E29" s="80">
        <f>(E27-E28)/E28</f>
        <v/>
      </c>
    </row>
    <row r="31">
      <c r="A31" s="54" t="inlineStr">
        <is>
          <t>KEY STRATEGIC TAKEAWAYS: HOW TO ALIGN STATIC RECOVERY WITH WORKOUT PATHWAYS
1. THE MATURITY EXTENSION PARADOX: An 'Amend &amp; Extend' offering 100% par recovery on paper (Pathway 1) actually delivers only ~65 cents in present value today because the restructured 2034 notes with low cash coupons will trade at a steep discount (~20% exit yield) due to the 2028 YEKDEM cliff.
2. THE HOULIHAN HYBRID (PATHWAY 3 - BASE CASE): Houlihan Lokey's standard emerging-market utility playbook will likely target a 15% nominal haircut + 3-year extension to 2033 + 5% Cash / 5.5% PIK coupon structure. This reduces annual cash debt service from $121M to ~$45M, providing immediate liquidity relief while delivering an economic recovery of ~67.5 cents to bondholders (a +6.3% premium over current market price of 63.5c).
3. TIME IS THE ENEMY OF RECOVERY: Every 6 months of delay costs ~3 to 5 points of recovery value due to restructuring advisory fees, lost coupon reinvestment, and negative working capital drain at the HoldCo level.</t>
        </is>
      </c>
      <c r="B31" s="66" t="n"/>
      <c r="C31" s="66" t="n"/>
      <c r="D31" s="66" t="n"/>
      <c r="E31" s="67" t="n"/>
    </row>
    <row r="32">
      <c r="A32" s="68" t="n"/>
      <c r="E32" s="69" t="n"/>
    </row>
    <row r="33">
      <c r="A33" s="68" t="n"/>
      <c r="E33" s="69" t="n"/>
    </row>
    <row r="34">
      <c r="A34" s="68" t="n"/>
      <c r="E34" s="69" t="n"/>
    </row>
    <row r="35">
      <c r="A35" s="68" t="n"/>
      <c r="E35" s="69" t="n"/>
    </row>
    <row r="36">
      <c r="A36" s="70" t="n"/>
      <c r="B36" s="71" t="n"/>
      <c r="C36" s="71" t="n"/>
      <c r="D36" s="71" t="n"/>
      <c r="E36" s="72" t="n"/>
    </row>
  </sheetData>
  <mergeCells count="5">
    <mergeCell ref="A4:H4"/>
    <mergeCell ref="A15:H15"/>
    <mergeCell ref="A2:H2"/>
    <mergeCell ref="A31:E36"/>
    <mergeCell ref="A1:H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28"/>
  <sheetViews>
    <sheetView showGridLines="1" workbookViewId="0">
      <selection activeCell="A1" sqref="A1"/>
    </sheetView>
  </sheetViews>
  <sheetFormatPr baseColWidth="8" defaultRowHeight="15"/>
  <cols>
    <col width="28" customWidth="1" min="1" max="1"/>
    <col width="18" customWidth="1" min="2" max="2"/>
    <col width="18" customWidth="1" min="3" max="3"/>
    <col width="18" customWidth="1" min="4" max="4"/>
    <col width="18" customWidth="1" min="5" max="5"/>
    <col width="18" customWidth="1" min="6" max="6"/>
  </cols>
  <sheetData>
    <row r="1" ht="28" customHeight="1">
      <c r="A1" s="1" t="inlineStr">
        <is>
          <t>ZORLU ENERJİ EUROBOND (XS2926261426) — DISTRESSED TRADING STRATEGY</t>
        </is>
      </c>
    </row>
    <row r="2" ht="18" customHeight="1">
      <c r="A2" s="2" t="inlineStr">
        <is>
          <t>Coupon Default Timing, Capitulation Dynamics, Institutional Forced-Selling &amp; Tactical Entry/Exit Sizing</t>
        </is>
      </c>
    </row>
    <row r="4" ht="20" customHeight="1">
      <c r="A4" s="10" t="inlineStr">
        <is>
          <t>1. RESTRUCTURING CHRONOLOGY &amp; SECONDARY BOND PRICE PATHWAY</t>
        </is>
      </c>
    </row>
    <row r="5" ht="24" customHeight="1">
      <c r="A5" s="11" t="inlineStr">
        <is>
          <t>Phase / Event Horizon</t>
        </is>
      </c>
      <c r="B5" s="11" t="inlineStr">
        <is>
          <t>Key Catalyst / Triggers</t>
        </is>
      </c>
      <c r="C5" s="11" t="inlineStr">
        <is>
          <t>Expected Timing</t>
        </is>
      </c>
      <c r="D5" s="11" t="inlineStr">
        <is>
          <t>Projected Price Range</t>
        </is>
      </c>
      <c r="E5" s="11" t="inlineStr">
        <is>
          <t>Market Dynamics &amp; Technical Flow</t>
        </is>
      </c>
      <c r="F5" s="11" t="inlineStr">
        <is>
          <t>Actionable Trading Stance</t>
        </is>
      </c>
    </row>
    <row r="6" ht="28" customHeight="1">
      <c r="A6" s="73" t="inlineStr">
        <is>
          <t>Phase 1: Initial Adviser Shock</t>
        </is>
      </c>
      <c r="B6" s="12" t="inlineStr">
        <is>
          <t>Houlihan Lokey / Servo hired; JPM London roadshow canceled</t>
        </is>
      </c>
      <c r="C6" s="12" t="inlineStr">
        <is>
          <t>Mid-Sep 2026 (Active)</t>
        </is>
      </c>
      <c r="D6" s="95" t="inlineStr">
        <is>
          <t>62.0 - 65.0 Cents</t>
        </is>
      </c>
      <c r="E6" s="12" t="inlineStr">
        <is>
          <t>Discretionary long-only funds exit; market prices default risk</t>
        </is>
      </c>
      <c r="F6" s="96" t="inlineStr">
        <is>
          <t>HOLD / AVOID: Do not catch falling knife yet</t>
        </is>
      </c>
    </row>
    <row r="7" ht="28" customHeight="1">
      <c r="A7" s="73" t="inlineStr">
        <is>
          <t>Phase 2: Coupon Skip &amp; Grace Period</t>
        </is>
      </c>
      <c r="B7" s="13" t="inlineStr">
        <is>
          <t>Oct 23 coupon ($60.5M) skipped or grace period invoked</t>
        </is>
      </c>
      <c r="C7" s="13" t="inlineStr">
        <is>
          <t>Oct - Nov 2026</t>
        </is>
      </c>
      <c r="D7" s="97" t="inlineStr">
        <is>
          <t>48.0 - 54.0 Cents</t>
        </is>
      </c>
      <c r="E7" s="13" t="inlineStr">
        <is>
          <t>CAPITULATION WAVE: Forced selling by benchmark EM HY / ETF accounts on 'RD' downgrade</t>
        </is>
      </c>
      <c r="F7" s="98" t="inlineStr">
        <is>
          <t>OPTIMAL ACCUMULATION ZONE (Enter at 50-53c)</t>
        </is>
      </c>
    </row>
    <row r="8" ht="28" customHeight="1">
      <c r="A8" s="73" t="inlineStr">
        <is>
          <t>Phase 3: Ad Hoc Committee Formation</t>
        </is>
      </c>
      <c r="B8" s="12" t="inlineStr">
        <is>
          <t>International bondholder committee formed; standstill agreed</t>
        </is>
      </c>
      <c r="C8" s="12" t="inlineStr">
        <is>
          <t>Dec 2026 - Jan 2027</t>
        </is>
      </c>
      <c r="D8" s="95" t="inlineStr">
        <is>
          <t>52.0 - 58.0 Cents</t>
        </is>
      </c>
      <c r="E8" s="12" t="inlineStr">
        <is>
          <t>Distressed specialists absorb overhang; price forms structural bottom</t>
        </is>
      </c>
      <c r="F8" s="96" t="inlineStr">
        <is>
          <t>ADD TO POSITION / BUILD CORE ALLOCATION</t>
        </is>
      </c>
    </row>
    <row r="9" ht="28" customHeight="1">
      <c r="A9" s="73" t="inlineStr">
        <is>
          <t>Phase 4: Exchange Terms Announced</t>
        </is>
      </c>
      <c r="B9" s="13" t="inlineStr">
        <is>
          <t>Houlihan releases Pathway 3 terms: $85 new notes + PIK + sweep</t>
        </is>
      </c>
      <c r="C9" s="13" t="inlineStr">
        <is>
          <t>Mar - May 2027</t>
        </is>
      </c>
      <c r="D9" s="95" t="inlineStr">
        <is>
          <t>64.0 - 68.0 Cents</t>
        </is>
      </c>
      <c r="E9" s="13" t="inlineStr">
        <is>
          <t>Restructuring risk premium unwinds; short-covering by hedge funds</t>
        </is>
      </c>
      <c r="F9" s="96" t="inlineStr">
        <is>
          <t>HOLD FOR POST-RESTRUCTURING EXPANSION</t>
        </is>
      </c>
    </row>
    <row r="10" ht="28" customHeight="1">
      <c r="A10" s="73" t="inlineStr">
        <is>
          <t>Phase 5: Deal Close &amp; Re-Rating</t>
        </is>
      </c>
      <c r="B10" s="12" t="inlineStr">
        <is>
          <t>New notes settle; rating upgraded to B-/B; trading without flat discount</t>
        </is>
      </c>
      <c r="C10" s="12" t="inlineStr">
        <is>
          <t>Q3 2027</t>
        </is>
      </c>
      <c r="D10" s="99" t="inlineStr">
        <is>
          <t>72.0 - 76.0 Cents</t>
        </is>
      </c>
      <c r="E10" s="12" t="inlineStr">
        <is>
          <t>Mainstream EM funds re-enter; paper trades at ~85% of new face value</t>
        </is>
      </c>
      <c r="F10" s="100" t="inlineStr">
        <is>
          <t>TARGET EXIT ZONE (Harvest +35% to +45% gains)</t>
        </is>
      </c>
    </row>
    <row r="12" ht="20" customHeight="1">
      <c r="A12" s="10" t="inlineStr">
        <is>
          <t>2. TACTICAL DISTRESSED TRADE SIZING &amp; ASYMMETRIC RETURN PROFILE</t>
        </is>
      </c>
    </row>
    <row r="13" ht="22" customHeight="1">
      <c r="A13" s="11" t="inlineStr">
        <is>
          <t>Trade Parameter</t>
        </is>
      </c>
      <c r="B13" s="11" t="inlineStr">
        <is>
          <t>Aggressive Entry (Current)</t>
        </is>
      </c>
      <c r="C13" s="11" t="inlineStr">
        <is>
          <t>Recommended Distressed Entry</t>
        </is>
      </c>
      <c r="D13" s="11" t="inlineStr">
        <is>
          <t>Conservative Post-Default Entry</t>
        </is>
      </c>
      <c r="E13" s="11" t="inlineStr">
        <is>
          <t>Target Exit (Pathway 3 Close)</t>
        </is>
      </c>
      <c r="F13" s="11" t="inlineStr">
        <is>
          <t>Bull Case Exit (Asset Sale Tender)</t>
        </is>
      </c>
    </row>
    <row r="14" ht="21" customHeight="1">
      <c r="A14" s="15" t="inlineStr">
        <is>
          <t>Entry Price (Cents on Dollar)</t>
        </is>
      </c>
      <c r="B14" s="101" t="n">
        <v>63.5</v>
      </c>
      <c r="C14" s="102" t="n">
        <v>52</v>
      </c>
      <c r="D14" s="101" t="n">
        <v>48</v>
      </c>
      <c r="E14" s="103" t="inlineStr">
        <is>
          <t>-</t>
        </is>
      </c>
      <c r="F14" s="103" t="inlineStr">
        <is>
          <t>-</t>
        </is>
      </c>
    </row>
    <row r="15" ht="21" customHeight="1">
      <c r="A15" s="15" t="inlineStr">
        <is>
          <t>Target Exit Price (Cents)</t>
        </is>
      </c>
      <c r="B15" s="101" t="n">
        <v>74</v>
      </c>
      <c r="C15" s="101" t="n">
        <v>74</v>
      </c>
      <c r="D15" s="101" t="n">
        <v>74</v>
      </c>
      <c r="E15" s="101" t="n">
        <v>74</v>
      </c>
      <c r="F15" s="101" t="n">
        <v>80</v>
      </c>
    </row>
    <row r="16" ht="21" customHeight="1">
      <c r="A16" s="15" t="inlineStr">
        <is>
          <t>Nominal Capital Upside (Cents)</t>
        </is>
      </c>
      <c r="B16" s="101" t="n">
        <v>10.5</v>
      </c>
      <c r="C16" s="101" t="n">
        <v>22</v>
      </c>
      <c r="D16" s="101" t="n">
        <v>26</v>
      </c>
      <c r="E16" s="103" t="inlineStr">
        <is>
          <t>-</t>
        </is>
      </c>
      <c r="F16" s="103" t="inlineStr">
        <is>
          <t>-</t>
        </is>
      </c>
    </row>
    <row r="17" ht="21" customHeight="1">
      <c r="A17" s="17" t="inlineStr">
        <is>
          <t>Percentage Capital Gain (%)</t>
        </is>
      </c>
      <c r="B17" s="104">
        <f>(B15-B14)/B14</f>
        <v/>
      </c>
      <c r="C17" s="104">
        <f>(C15-C14)/C14</f>
        <v/>
      </c>
      <c r="D17" s="104">
        <f>(D15-D14)/D14</f>
        <v/>
      </c>
      <c r="E17" s="103" t="inlineStr">
        <is>
          <t>-</t>
        </is>
      </c>
      <c r="F17" s="103" t="inlineStr">
        <is>
          <t>-</t>
        </is>
      </c>
    </row>
    <row r="18" ht="21" customHeight="1">
      <c r="A18" s="15" t="inlineStr">
        <is>
          <t>Expected Holding Period (Months)</t>
        </is>
      </c>
      <c r="B18" s="107" t="n">
        <v>12</v>
      </c>
      <c r="C18" s="107" t="n">
        <v>9</v>
      </c>
      <c r="D18" s="107" t="n">
        <v>8</v>
      </c>
      <c r="E18" s="103" t="inlineStr">
        <is>
          <t>-</t>
        </is>
      </c>
      <c r="F18" s="103" t="inlineStr">
        <is>
          <t>-</t>
        </is>
      </c>
    </row>
    <row r="19" ht="21" customHeight="1">
      <c r="A19" s="17" t="inlineStr">
        <is>
          <t>Annualized IRR (%)</t>
        </is>
      </c>
      <c r="B19" s="104">
        <f>(B15/B14)^(12/B18)-1</f>
        <v/>
      </c>
      <c r="C19" s="104">
        <f>(C15/C14)^(12/C18)-1</f>
        <v/>
      </c>
      <c r="D19" s="104">
        <f>(D15/D14)^(12/D18)-1</f>
        <v/>
      </c>
      <c r="E19" s="103" t="inlineStr">
        <is>
          <t>-</t>
        </is>
      </c>
      <c r="F19" s="103" t="inlineStr">
        <is>
          <t>-</t>
        </is>
      </c>
    </row>
    <row r="20" ht="21" customHeight="1">
      <c r="A20" s="15" t="inlineStr">
        <is>
          <t>Downside Floor (Liquidation EV)</t>
        </is>
      </c>
      <c r="B20" s="16" t="n">
        <v>45</v>
      </c>
      <c r="C20" s="16" t="n">
        <v>45</v>
      </c>
      <c r="D20" s="16" t="n">
        <v>45</v>
      </c>
      <c r="E20" s="103" t="inlineStr">
        <is>
          <t>-</t>
        </is>
      </c>
      <c r="F20" s="103" t="inlineStr">
        <is>
          <t>-</t>
        </is>
      </c>
    </row>
    <row r="21" ht="21" customHeight="1">
      <c r="A21" s="17" t="inlineStr">
        <is>
          <t>Risk / Reward Ratio (Upside vs Downside)</t>
        </is>
      </c>
      <c r="B21" s="106">
        <f>(B15-B14)/(B14-B20)</f>
        <v/>
      </c>
      <c r="C21" s="106">
        <f>(C15-C14)/(C14-C20)</f>
        <v/>
      </c>
      <c r="D21" s="106">
        <f>(D15-D14)/(D14-D20)</f>
        <v/>
      </c>
      <c r="E21" s="103" t="inlineStr">
        <is>
          <t>-</t>
        </is>
      </c>
      <c r="F21" s="103" t="inlineStr">
        <is>
          <t>-</t>
        </is>
      </c>
    </row>
    <row r="23">
      <c r="A23" s="54" t="inlineStr">
        <is>
          <t>KEY TACTICAL TRADING RULES FOR ZORLU ENERJI EUROBOND:
1. DO NOT BUY AT 63.5 CENTS TODAY: The bond is only in Stage 1 of its distress life cycle. With a $60.5M coupon due on October 23, 2026, Houlihan Lokey will almost certainly recommend skipping or deferring the payment, which will trigger a 30-day grace period, a rating downgrade to 'RD' (Restricted Default), and forced selling by benchmark-constrained EM bond funds.
2. THE SWEET SPOT (50 TO 53 CENTS): The forced capitulation wave will push the bond down into the low 50s. At 52 cents, the entry price is below even the Downside Liquidation Floor (~59c static EV), offering an asymmetric 3.1x Risk/Reward ratio and a +42% capital gain (+56% annualized IRR) targeting a 74-cent exit upon restructuring close.
3. TARGET EXIT AT 72 TO 76 CENTS: Once Houlihan's exchange offer settles (expected Pathway 3: $85 new face with PIK and asset sweeps), the bond will trade out of distress and re-rate to 84-88% of new face value, delivering an orderly exit point.</t>
        </is>
      </c>
      <c r="B23" s="66" t="n"/>
      <c r="C23" s="66" t="n"/>
      <c r="D23" s="66" t="n"/>
      <c r="E23" s="66" t="n"/>
      <c r="F23" s="67" t="n"/>
    </row>
    <row r="24">
      <c r="A24" s="68" t="n"/>
      <c r="F24" s="69" t="n"/>
    </row>
    <row r="25">
      <c r="A25" s="68" t="n"/>
      <c r="F25" s="69" t="n"/>
    </row>
    <row r="26">
      <c r="A26" s="68" t="n"/>
      <c r="F26" s="69" t="n"/>
    </row>
    <row r="27">
      <c r="A27" s="68" t="n"/>
      <c r="F27" s="69" t="n"/>
    </row>
    <row r="28">
      <c r="A28" s="70" t="n"/>
      <c r="B28" s="71" t="n"/>
      <c r="C28" s="71" t="n"/>
      <c r="D28" s="71" t="n"/>
      <c r="E28" s="71" t="n"/>
      <c r="F28" s="72" t="n"/>
    </row>
  </sheetData>
  <mergeCells count="5">
    <mergeCell ref="A1:G1"/>
    <mergeCell ref="A23:F28"/>
    <mergeCell ref="A12:G12"/>
    <mergeCell ref="A4:G4"/>
    <mergeCell ref="A2:G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35"/>
  <sheetViews>
    <sheetView showGridLines="1" workbookViewId="0">
      <selection activeCell="A1" sqref="A1"/>
    </sheetView>
  </sheetViews>
  <sheetFormatPr baseColWidth="8" defaultRowHeight="15"/>
  <cols>
    <col width="26" customWidth="1" min="1" max="1"/>
    <col width="36" customWidth="1" min="2" max="2"/>
    <col width="16" customWidth="1" min="3" max="3"/>
    <col width="18" customWidth="1" min="4" max="4"/>
    <col width="30" customWidth="1" min="5" max="5"/>
    <col width="24" customWidth="1" min="6" max="6"/>
  </cols>
  <sheetData>
    <row r="1" ht="28" customHeight="1">
      <c r="A1" s="1" t="inlineStr">
        <is>
          <t>ZORLU ENERJİ — GENERATION-ONLY CARVE-OUT UNDER BAD HYDROLOGY STRESS</t>
        </is>
      </c>
    </row>
    <row r="2" ht="18" customHeight="1">
      <c r="A2" s="2" t="inlineStr">
        <is>
          <t>Carve-out Valuation Excluding Distribution (OEDAŞ), Drought Hydrology Shock (-35%), Market Trading Range &amp; 14-18M Timeline</t>
        </is>
      </c>
    </row>
    <row r="4" ht="20" customHeight="1">
      <c r="A4" s="10" t="inlineStr">
        <is>
          <t>1. STANDALONE GENERATION ASSET VALUATION WATERFALL (DROUGHT STRESS SCENARIOS)</t>
        </is>
      </c>
    </row>
    <row r="5" ht="24" customHeight="1">
      <c r="A5" s="11" t="inlineStr">
        <is>
          <t>Valuation Line Item</t>
        </is>
      </c>
      <c r="B5" s="11" t="inlineStr">
        <is>
          <t>Ref</t>
        </is>
      </c>
      <c r="C5" s="11" t="inlineStr">
        <is>
          <t>Severe Drought (AUF Capped)</t>
        </is>
      </c>
      <c r="D5" s="11" t="inlineStr">
        <is>
          <t>Moderate Drought (Capped PTF)</t>
        </is>
      </c>
      <c r="E5" s="11" t="inlineStr">
        <is>
          <t>Drought with Merchant Spike</t>
        </is>
      </c>
      <c r="F5" s="11" t="inlineStr">
        <is>
          <t>Valuation / Modeling Rationale</t>
        </is>
      </c>
    </row>
    <row r="6" ht="21" customHeight="1">
      <c r="A6" s="15" t="inlineStr">
        <is>
          <t>Baseline Generation EBITDA ($ mn)</t>
        </is>
      </c>
      <c r="B6" s="39" t="inlineStr">
        <is>
          <t>R6</t>
        </is>
      </c>
      <c r="C6" s="16" t="n">
        <v>110</v>
      </c>
      <c r="D6" s="16" t="n">
        <v>110</v>
      </c>
      <c r="E6" s="16" t="n">
        <v>110</v>
      </c>
      <c r="F6" s="40" t="inlineStr">
        <is>
          <t>Normal water year run-rate (YEKDEM $82.5M + Merchant $27.5M)</t>
        </is>
      </c>
    </row>
    <row r="7" ht="21" customHeight="1">
      <c r="A7" s="15" t="inlineStr">
        <is>
          <t>Hydrology Output Shock (-35% hydro fleet)</t>
        </is>
      </c>
      <c r="B7" s="39" t="inlineStr">
        <is>
          <t>R7</t>
        </is>
      </c>
      <c r="C7" s="21" t="n">
        <v>-12</v>
      </c>
      <c r="D7" s="21" t="n">
        <v>-11</v>
      </c>
      <c r="E7" s="21" t="n">
        <v>-11</v>
      </c>
      <c r="F7" s="40" t="inlineStr">
        <is>
          <t>Run-of-river generation plunges from ~420 GWh to ~270 GWh</t>
        </is>
      </c>
    </row>
    <row r="8" ht="21" customHeight="1">
      <c r="A8" s="15" t="inlineStr">
        <is>
          <t>Merchant Geothermal Offset / (AUF Cap Drag)</t>
        </is>
      </c>
      <c r="B8" s="39" t="inlineStr">
        <is>
          <t>R8</t>
        </is>
      </c>
      <c r="C8" s="16" t="n">
        <v>-13</v>
      </c>
      <c r="D8" s="16" t="n">
        <v>-9</v>
      </c>
      <c r="E8" s="16" t="n">
        <v>6</v>
      </c>
      <c r="F8" s="40" t="inlineStr">
        <is>
          <t>AUF price caps drag vs merchant spark spread upside</t>
        </is>
      </c>
    </row>
    <row r="9" ht="21" customHeight="1">
      <c r="A9" s="17" t="inlineStr">
        <is>
          <t>Stressed Generation Operational EBITDA</t>
        </is>
      </c>
      <c r="B9" s="39" t="inlineStr">
        <is>
          <t>R9</t>
        </is>
      </c>
      <c r="C9" s="97">
        <f>SUM(C6:C8)</f>
        <v/>
      </c>
      <c r="D9" s="97">
        <f>SUM(D6:D8)</f>
        <v/>
      </c>
      <c r="E9" s="97">
        <f>SUM(E6:E8)</f>
        <v/>
      </c>
      <c r="F9" s="40" t="inlineStr">
        <is>
          <t>Net standalone generation cash flow under drought</t>
        </is>
      </c>
    </row>
    <row r="10" ht="21" customHeight="1">
      <c r="A10" s="15" t="inlineStr">
        <is>
          <t>Implied Distressed EV Multiple</t>
        </is>
      </c>
      <c r="B10" s="39" t="inlineStr">
        <is>
          <t>R10</t>
        </is>
      </c>
      <c r="C10" s="108" t="n">
        <v>5</v>
      </c>
      <c r="D10" s="108" t="n">
        <v>5.5</v>
      </c>
      <c r="E10" s="108" t="n">
        <v>6</v>
      </c>
      <c r="F10" s="40" t="inlineStr">
        <is>
          <t>Standalone renewable multiples under high regulatory scrutiny</t>
        </is>
      </c>
    </row>
    <row r="11" ht="21" customHeight="1">
      <c r="A11" s="17" t="inlineStr">
        <is>
          <t>Gross Generation Enterprise Value ($ mn)</t>
        </is>
      </c>
      <c r="B11" s="39" t="inlineStr">
        <is>
          <t>R11</t>
        </is>
      </c>
      <c r="C11" s="97">
        <f>C9*C10</f>
        <v/>
      </c>
      <c r="D11" s="97">
        <f>D9*D10</f>
        <v/>
      </c>
      <c r="E11" s="97">
        <f>E9*E10</f>
        <v/>
      </c>
      <c r="F11" s="40" t="inlineStr">
        <is>
          <t>Operational asset value of 305 MW Geothermal + 119 MW Hydro + 135 MW Wind</t>
        </is>
      </c>
    </row>
    <row r="12" ht="21" customHeight="1">
      <c r="A12" s="15" t="inlineStr">
        <is>
          <t>Less: Generation Project Finance Senior Debt</t>
        </is>
      </c>
      <c r="B12" s="39" t="inlineStr">
        <is>
          <t>R12</t>
        </is>
      </c>
      <c r="C12" s="21" t="n">
        <v>-80</v>
      </c>
      <c r="D12" s="21" t="n">
        <v>-80</v>
      </c>
      <c r="E12" s="21" t="n">
        <v>-80</v>
      </c>
      <c r="F12" s="40" t="inlineStr">
        <is>
          <t>Mortgages on Kızıldere &amp; Alaşehir project SPVs (100% recovered)</t>
        </is>
      </c>
    </row>
    <row r="13" ht="21" customHeight="1">
      <c r="A13" s="15" t="inlineStr">
        <is>
          <t>Less: Carve-Out, Advisory &amp; License Legal Friction</t>
        </is>
      </c>
      <c r="B13" s="39" t="inlineStr">
        <is>
          <t>R13</t>
        </is>
      </c>
      <c r="C13" s="21" t="n">
        <v>-30</v>
      </c>
      <c r="D13" s="21" t="n">
        <v>-25</v>
      </c>
      <c r="E13" s="21" t="n">
        <v>-20</v>
      </c>
      <c r="F13" s="40" t="inlineStr">
        <is>
          <t>EPDK license transfer fees, Houlihan carve-out fees, escrow holdback</t>
        </is>
      </c>
    </row>
    <row r="14" ht="21" customHeight="1">
      <c r="A14" s="15" t="inlineStr">
        <is>
          <t>Plus: Generation Standalone Cash Reserves</t>
        </is>
      </c>
      <c r="B14" s="39" t="inlineStr">
        <is>
          <t>R14</t>
        </is>
      </c>
      <c r="C14" s="16" t="n">
        <v>25</v>
      </c>
      <c r="D14" s="16" t="n">
        <v>30</v>
      </c>
      <c r="E14" s="16" t="n">
        <v>35</v>
      </c>
      <c r="F14" s="40" t="inlineStr">
        <is>
          <t>Cash trapped within generation SPV project accounts</t>
        </is>
      </c>
    </row>
    <row r="15" ht="21" customHeight="1">
      <c r="A15" s="17" t="inlineStr">
        <is>
          <t>Net Distributable Value to HoldCo Eurobond</t>
        </is>
      </c>
      <c r="B15" s="39" t="inlineStr">
        <is>
          <t>R15</t>
        </is>
      </c>
      <c r="C15" s="97">
        <f>SUM(C11:C14)</f>
        <v/>
      </c>
      <c r="D15" s="97">
        <f>SUM(D11:D14)</f>
        <v/>
      </c>
      <c r="E15" s="97">
        <f>SUM(E11:E14)</f>
        <v/>
      </c>
      <c r="F15" s="40" t="inlineStr">
        <is>
          <t>Net asset value flowing exclusively to $1.1B Eurobond notes</t>
        </is>
      </c>
    </row>
    <row r="16" ht="21" customHeight="1">
      <c r="A16" s="15" t="inlineStr">
        <is>
          <t>Senior Unsecured Eurobond Face Value ($ mn)</t>
        </is>
      </c>
      <c r="B16" s="39" t="inlineStr">
        <is>
          <t>R16</t>
        </is>
      </c>
      <c r="C16" s="16" t="n">
        <v>1100</v>
      </c>
      <c r="D16" s="16" t="n">
        <v>1100</v>
      </c>
      <c r="E16" s="16" t="n">
        <v>1100</v>
      </c>
      <c r="F16" s="40" t="inlineStr">
        <is>
          <t>Face value of outstanding XS2926261426 notes</t>
        </is>
      </c>
    </row>
    <row r="17" ht="21" customHeight="1">
      <c r="A17" s="17" t="inlineStr">
        <is>
          <t>IMPLIED STANDALONE RECOVERY RATE (%)</t>
        </is>
      </c>
      <c r="B17" s="39" t="inlineStr">
        <is>
          <t>R17</t>
        </is>
      </c>
      <c r="C17" s="97">
        <f>C15/C16</f>
        <v/>
      </c>
      <c r="D17" s="97">
        <f>D15/D16</f>
        <v/>
      </c>
      <c r="E17" s="97">
        <f>E15/E16</f>
        <v/>
      </c>
      <c r="F17" s="40" t="inlineStr">
        <is>
          <t>Theoretical recovery backed solely by generation fleet</t>
        </is>
      </c>
    </row>
    <row r="18" ht="21" customHeight="1">
      <c r="A18" s="17" t="inlineStr">
        <is>
          <t>IMPLIED RECOVERY VALUE (CENTS ON DOLLAR)</t>
        </is>
      </c>
      <c r="B18" s="39" t="inlineStr">
        <is>
          <t>R18</t>
        </is>
      </c>
      <c r="C18" s="97">
        <f>C17*100</f>
        <v/>
      </c>
      <c r="D18" s="97">
        <f>D17*100</f>
        <v/>
      </c>
      <c r="E18" s="97">
        <f>E17*100</f>
        <v/>
      </c>
      <c r="F18" s="40" t="inlineStr">
        <is>
          <t>Fair workout value per $100 original par</t>
        </is>
      </c>
    </row>
    <row r="19" ht="21" customHeight="1">
      <c r="A19" s="15" t="inlineStr">
        <is>
          <t>Projected Market Trading Range (Cents)</t>
        </is>
      </c>
      <c r="B19" s="39" t="inlineStr">
        <is>
          <t>R19</t>
        </is>
      </c>
      <c r="C19" s="97" t="inlineStr">
        <is>
          <t>26.0 - 32.0</t>
        </is>
      </c>
      <c r="D19" s="97" t="inlineStr">
        <is>
          <t>32.0 - 38.0</t>
        </is>
      </c>
      <c r="E19" s="97" t="inlineStr">
        <is>
          <t>38.0 - 44.0</t>
        </is>
      </c>
      <c r="F19" s="40" t="inlineStr">
        <is>
          <t>Anticipated secondary trading pricing in OEDAŞ carve-out exclusion</t>
        </is>
      </c>
    </row>
    <row r="21" ht="20" customHeight="1">
      <c r="A21" s="10" t="inlineStr">
        <is>
          <t>2. RESTRUCTURING TIMELINE: GENERATION CARVE-OUT / DEBT-FOR-EQUITY WORKOUT</t>
        </is>
      </c>
    </row>
    <row r="22" ht="22" customHeight="1">
      <c r="A22" s="11" t="inlineStr">
        <is>
          <t>Carve-Out Phase</t>
        </is>
      </c>
      <c r="B22" s="11" t="inlineStr">
        <is>
          <t>Key Operational &amp; Legal Milestones</t>
        </is>
      </c>
      <c r="C22" s="11" t="inlineStr">
        <is>
          <t>Time Required</t>
        </is>
      </c>
      <c r="D22" s="11" t="inlineStr">
        <is>
          <t>Cumulative Months</t>
        </is>
      </c>
      <c r="E22" s="11" t="inlineStr">
        <is>
          <t>Regulatory / Creditor Hurdle</t>
        </is>
      </c>
      <c r="F22" s="11" t="inlineStr">
        <is>
          <t>Secondary Price Impact</t>
        </is>
      </c>
    </row>
    <row r="23" ht="24" customHeight="1">
      <c r="A23" s="73" t="inlineStr">
        <is>
          <t>Phase 1: Default &amp; Standstill</t>
        </is>
      </c>
      <c r="B23" s="13" t="inlineStr">
        <is>
          <t>HoldCo defaults on coupon; Turkish banks ring-fence OEDAŞ utility cash</t>
        </is>
      </c>
      <c r="C23" s="109" t="inlineStr">
        <is>
          <t>3 Months</t>
        </is>
      </c>
      <c r="D23" s="109" t="inlineStr">
        <is>
          <t>Month 1 - 3</t>
        </is>
      </c>
      <c r="E23" s="13" t="inlineStr">
        <is>
          <t>Domestic bank consortium asserts priority</t>
        </is>
      </c>
      <c r="F23" s="97" t="inlineStr">
        <is>
          <t>Bond collapses to 40 - 45c</t>
        </is>
      </c>
    </row>
    <row r="24" ht="24" customHeight="1">
      <c r="A24" s="73" t="inlineStr">
        <is>
          <t>Phase 2: Carve-Out Structuring</t>
        </is>
      </c>
      <c r="B24" s="12" t="inlineStr">
        <is>
          <t>Houlihan designs spin-off of Zorlu Doğal / Generation SPVs to bondholders</t>
        </is>
      </c>
      <c r="C24" s="109" t="inlineStr">
        <is>
          <t>3 Months</t>
        </is>
      </c>
      <c r="D24" s="109" t="inlineStr">
        <is>
          <t>Month 4 - 6</t>
        </is>
      </c>
      <c r="E24" s="12" t="inlineStr">
        <is>
          <t>Intercreditor disputes over shared HoldCo guarantees</t>
        </is>
      </c>
      <c r="F24" s="97" t="inlineStr">
        <is>
          <t>Bond trades flat at 32 - 36c</t>
        </is>
      </c>
    </row>
    <row r="25" ht="24" customHeight="1">
      <c r="A25" s="73" t="inlineStr">
        <is>
          <t>Phase 3: EPDK License Due Diligence</t>
        </is>
      </c>
      <c r="B25" s="13" t="inlineStr">
        <is>
          <t>Regulatory review of change of control across 10+ generation licenses</t>
        </is>
      </c>
      <c r="C25" s="109" t="inlineStr">
        <is>
          <t>4 Months</t>
        </is>
      </c>
      <c r="D25" s="109" t="inlineStr">
        <is>
          <t>Month 7 - 10</t>
        </is>
      </c>
      <c r="E25" s="13" t="inlineStr">
        <is>
          <t>EPDK national security &amp; technical vetting of AHC</t>
        </is>
      </c>
      <c r="F25" s="97" t="inlineStr">
        <is>
          <t>Bond languishes at 30 - 35c</t>
        </is>
      </c>
    </row>
    <row r="26" ht="24" customHeight="1">
      <c r="A26" s="73" t="inlineStr">
        <is>
          <t>Phase 4: Scheme of Arrangement</t>
        </is>
      </c>
      <c r="B26" s="12" t="inlineStr">
        <is>
          <t>English High Court Part 26A / Scheme to bind minority bondholders</t>
        </is>
      </c>
      <c r="C26" s="109" t="inlineStr">
        <is>
          <t>3 Months</t>
        </is>
      </c>
      <c r="D26" s="109" t="inlineStr">
        <is>
          <t>Month 11 - 13</t>
        </is>
      </c>
      <c r="E26" s="12" t="inlineStr">
        <is>
          <t>Cross-class cramdown / 75% approval threshold</t>
        </is>
      </c>
      <c r="F26" s="97" t="inlineStr">
        <is>
          <t>Price lifts to 36 - 40c</t>
        </is>
      </c>
    </row>
    <row r="27" ht="24" customHeight="1">
      <c r="A27" s="73" t="inlineStr">
        <is>
          <t>Phase 5: Closing &amp; Equity Distribution</t>
        </is>
      </c>
      <c r="B27" s="13" t="inlineStr">
        <is>
          <t>New shares in Generation NewCo / restructured paper distributed</t>
        </is>
      </c>
      <c r="C27" s="109" t="inlineStr">
        <is>
          <t>3 Months</t>
        </is>
      </c>
      <c r="D27" s="109" t="inlineStr">
        <is>
          <t>Month 14 - 17</t>
        </is>
      </c>
      <c r="E27" s="13" t="inlineStr">
        <is>
          <t>Final license transfer &amp; tax clearance in Turkey</t>
        </is>
      </c>
      <c r="F27" s="97" t="inlineStr">
        <is>
          <t>Re-rates to 42 - 46c</t>
        </is>
      </c>
    </row>
    <row r="29">
      <c r="A29" s="54" t="inlineStr">
        <is>
          <t>KEY STRATEGIC TAKEAWAYS ON THE GENERATION-ONLY / BAD HYDROLOGY SCENARIO:
1. LOSS OF OEDAŞ CUTS RECOVERY IN HALF: Without the regulated distribution business (which produces 56% of EBITDA and holds the TRY 16.7B concession asset), the Eurobond recovery ceiling drops from ~66c down to ~35c. The market will trade this as an orphaned renewable generation credit.
2. BAD HYDROLOGY COMPRESSES STANDALONE EBITDA TO $85M - $90M: A 35% drop in hydro generation eliminates ~$11M-$12M of high-margin cash flow. If EPDK caps merchant power prices to shield consumers, geothermal plants cannot capture full spark-spread windfalls, suppressing Generation EBITDA to ~$85M-$90M.
3. MARKET TRADING RANGE COLLAPSES TO 28 - 38 CENTS: The moment the market realizes OEDAŞ is walled off and Eurobond holders are left holding only the generation fleet during a drought year, the bond will gap down below 40 cents, finding a base between 32 and 36 cents.
4. TIMELINE EXTENDS TO 14 - 18 MONTHS: Unlike a simple coupon reprofiling (which takes 6-9 months), carving out generation assets requires unbundling shared guarantees and securing EPDK regulatory approvals for transferring generation licenses across 10+ plants.</t>
        </is>
      </c>
      <c r="B29" s="4" t="n"/>
      <c r="C29" s="4" t="n"/>
      <c r="D29" s="4" t="n"/>
      <c r="E29" s="4" t="n"/>
      <c r="F29" s="4" t="n"/>
    </row>
    <row r="30">
      <c r="A30" s="4" t="n"/>
      <c r="B30" s="4" t="n"/>
      <c r="C30" s="4" t="n"/>
      <c r="D30" s="4" t="n"/>
      <c r="E30" s="4" t="n"/>
      <c r="F30" s="4" t="n"/>
    </row>
    <row r="31">
      <c r="A31" s="4" t="n"/>
      <c r="B31" s="4" t="n"/>
      <c r="C31" s="4" t="n"/>
      <c r="D31" s="4" t="n"/>
      <c r="E31" s="4" t="n"/>
      <c r="F31" s="4" t="n"/>
    </row>
    <row r="32">
      <c r="A32" s="4" t="n"/>
      <c r="B32" s="4" t="n"/>
      <c r="C32" s="4" t="n"/>
      <c r="D32" s="4" t="n"/>
      <c r="E32" s="4" t="n"/>
      <c r="F32" s="4" t="n"/>
    </row>
    <row r="33">
      <c r="A33" s="4" t="n"/>
      <c r="B33" s="4" t="n"/>
      <c r="C33" s="4" t="n"/>
      <c r="D33" s="4" t="n"/>
      <c r="E33" s="4" t="n"/>
      <c r="F33" s="4" t="n"/>
    </row>
    <row r="34">
      <c r="A34" s="4" t="n"/>
      <c r="B34" s="4" t="n"/>
      <c r="C34" s="4" t="n"/>
      <c r="D34" s="4" t="n"/>
      <c r="E34" s="4" t="n"/>
      <c r="F34" s="4" t="n"/>
    </row>
    <row r="35">
      <c r="A35" s="4" t="n"/>
      <c r="B35" s="4" t="n"/>
      <c r="C35" s="4" t="n"/>
      <c r="D35" s="4" t="n"/>
      <c r="E35" s="4" t="n"/>
      <c r="F35" s="4" t="n"/>
    </row>
  </sheetData>
  <mergeCells count="5">
    <mergeCell ref="A1:G1"/>
    <mergeCell ref="A21:G21"/>
    <mergeCell ref="A4:G4"/>
    <mergeCell ref="A2:G2"/>
    <mergeCell ref="A29:F35"/>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24"/>
  <sheetViews>
    <sheetView showGridLines="1" workbookViewId="0">
      <selection activeCell="A1" sqref="A1"/>
    </sheetView>
  </sheetViews>
  <sheetFormatPr baseColWidth="8" defaultRowHeight="15"/>
  <cols>
    <col width="28" customWidth="1" min="1" max="1"/>
    <col width="16" customWidth="1" min="2" max="2"/>
    <col width="16" customWidth="1" min="3" max="3"/>
    <col width="16" customWidth="1" min="4" max="4"/>
    <col width="16" customWidth="1" min="5" max="5"/>
    <col width="16" customWidth="1" min="6" max="6"/>
  </cols>
  <sheetData>
    <row r="1" ht="28" customHeight="1">
      <c r="A1" s="1" t="inlineStr">
        <is>
          <t>ZORLU ENERJİ — INCORPORATING MANAGEMENT DISAPPOINTMENT INTO VALUATION</t>
        </is>
      </c>
    </row>
    <row r="2" ht="18" customHeight="1">
      <c r="A2" s="2" t="inlineStr">
        <is>
          <t>Quantitative Model Adjusting Bond Fair Value for Governance Deficit, Guidance Slippage &amp; Group Contagion</t>
        </is>
      </c>
    </row>
    <row r="4" ht="20" customHeight="1">
      <c r="A4" s="10" t="inlineStr">
        <is>
          <t>1. AUDIT OF MANAGEMENT GUIDANCE VS ACTUAL EXECUTION (CREDIBILITY DEFICIT)</t>
        </is>
      </c>
    </row>
    <row r="5">
      <c r="A5" s="11" t="inlineStr">
        <is>
          <t>Strategic Promise / Guidance</t>
        </is>
      </c>
      <c r="B5" s="11" t="inlineStr">
        <is>
          <t>Initial Management Target</t>
        </is>
      </c>
      <c r="C5" s="11" t="inlineStr">
        <is>
          <t>Actual Outcome (2024-2026)</t>
        </is>
      </c>
      <c r="D5" s="11" t="inlineStr">
        <is>
          <t>Credibility Variance</t>
        </is>
      </c>
      <c r="E5" s="11" t="inlineStr">
        <is>
          <t>Market / Credit Repercussion</t>
        </is>
      </c>
    </row>
    <row r="6" ht="36" customHeight="1">
      <c r="A6" s="12" t="inlineStr">
        <is>
          <t>Deleveraging Target</t>
        </is>
      </c>
      <c r="B6" s="12" t="inlineStr">
        <is>
          <t>Net Debt/EBITDA &lt; 2.5x by 2024</t>
        </is>
      </c>
      <c r="C6" s="12" t="inlineStr">
        <is>
          <t>Net Debt/EBITDA expanded to 3.82x (FY25) &amp; ~4.7x (LTM26)</t>
        </is>
      </c>
      <c r="D6" s="47" t="inlineStr">
        <is>
          <t>Missed by &gt;2.0x turns</t>
        </is>
      </c>
      <c r="E6" s="12" t="inlineStr">
        <is>
          <t>Fitch placed rating on Negative Outlook; liquidity headroom evaporated.</t>
        </is>
      </c>
    </row>
    <row r="7" ht="36" customHeight="1">
      <c r="A7" s="13" t="inlineStr">
        <is>
          <t>Asset Sales (Israel / Fossil)</t>
        </is>
      </c>
      <c r="B7" s="13" t="inlineStr">
        <is>
          <t>Divest Israel assets (Dorad/Ashdod) to generate &gt;$150M cash</t>
        </is>
      </c>
      <c r="C7" s="13" t="inlineStr">
        <is>
          <t>Protracted geopolitical delays; partial exits at steep discounts</t>
        </is>
      </c>
      <c r="D7" s="47" t="inlineStr">
        <is>
          <t>Execution delayed by &gt;24 months</t>
        </is>
      </c>
      <c r="E7" s="13" t="inlineStr">
        <is>
          <t>Proceeds failed to materially reduce Eurobond principal before maturity wall.</t>
        </is>
      </c>
    </row>
    <row r="8" ht="36" customHeight="1">
      <c r="A8" s="12" t="inlineStr">
        <is>
          <t>ZES (EV Charging) Monetization</t>
        </is>
      </c>
      <c r="B8" s="12" t="inlineStr">
        <is>
          <t>Minority equity raise / strategic partner at premium valuation</t>
        </is>
      </c>
      <c r="C8" s="12" t="inlineStr">
        <is>
          <t>High capex burn continued; no significant external equity closing</t>
        </is>
      </c>
      <c r="D8" s="47" t="inlineStr">
        <is>
          <t>Cash burn instead of cash inflow</t>
        </is>
      </c>
      <c r="E8" s="12" t="inlineStr">
        <is>
          <t>ZES remained a cash-absorber rather than a deleveraging catalyst.</t>
        </is>
      </c>
    </row>
    <row r="9" ht="36" customHeight="1">
      <c r="A9" s="13" t="inlineStr">
        <is>
          <t>Investor Transparency</t>
        </is>
      </c>
      <c r="B9" s="13" t="inlineStr">
        <is>
          <t>Committed to ongoing global institutional bondholder roadshows</t>
        </is>
      </c>
      <c r="C9" s="13" t="inlineStr">
        <is>
          <t>Abruptly canceled JPMorgan London conference appearance in Sep 2026</t>
        </is>
      </c>
      <c r="D9" s="47" t="inlineStr">
        <is>
          <t>Total communication blackout</t>
        </is>
      </c>
      <c r="E9" s="13" t="inlineStr">
        <is>
          <t>Eurobond collapsed 11 points in 48 hours to 63 cents; market pricing default.</t>
        </is>
      </c>
    </row>
    <row r="10" ht="36" customHeight="1">
      <c r="A10" s="12" t="inlineStr">
        <is>
          <t>Wider Group Ring-fencing</t>
        </is>
      </c>
      <c r="B10" s="12" t="inlineStr">
        <is>
          <t>Zorlu Enerji balance sheet independent of Zorlu Holding stress</t>
        </is>
      </c>
      <c r="C10" s="12" t="inlineStr">
        <is>
          <t>Vestel hired Houlihan (Jul 2026); ZOREN followed 2 months later (Sep 2026)</t>
        </is>
      </c>
      <c r="D10" s="47" t="inlineStr">
        <is>
          <t>Conglomerate contagion confirmed</t>
        </is>
      </c>
      <c r="E10" s="12" t="inlineStr">
        <is>
          <t>Turkish banks treat Zorlu Group as single risk limit, freezing new credit lines.</t>
        </is>
      </c>
    </row>
    <row r="12" ht="20" customHeight="1">
      <c r="A12" s="10" t="inlineStr">
        <is>
          <t>2. VALUATION MATRIX: EUROBOND FAIR VALUE SENSITIVITY (CENTS ON DOLLAR)</t>
        </is>
      </c>
    </row>
    <row r="13">
      <c r="A13" s="48" t="inlineStr">
        <is>
          <t>EBITDA Haircut \ Required Return</t>
        </is>
      </c>
      <c r="B13" s="11" t="inlineStr">
        <is>
          <t>18% (Refinance)</t>
        </is>
      </c>
      <c r="C13" s="11" t="inlineStr">
        <is>
          <t>22% (Stressed)</t>
        </is>
      </c>
      <c r="D13" s="11" t="inlineStr">
        <is>
          <t>26% (Current Mkt)</t>
        </is>
      </c>
      <c r="E13" s="11" t="inlineStr">
        <is>
          <t>30% (Distressed)</t>
        </is>
      </c>
      <c r="F13" s="11" t="inlineStr">
        <is>
          <t>35% (Deep Distress)</t>
        </is>
      </c>
    </row>
    <row r="14" ht="20" customHeight="1">
      <c r="A14" s="17" t="inlineStr">
        <is>
          <t>0% Haircut (Mgmt Guidance: $305M)</t>
        </is>
      </c>
      <c r="B14" s="49" t="n">
        <v>84.2</v>
      </c>
      <c r="C14" s="49" t="n">
        <v>76.5</v>
      </c>
      <c r="D14" s="50" t="n">
        <v>69.8</v>
      </c>
      <c r="E14" s="50" t="n">
        <v>63.9</v>
      </c>
      <c r="F14" s="50" t="n">
        <v>58.1</v>
      </c>
    </row>
    <row r="15" ht="20" customHeight="1">
      <c r="A15" s="51" t="inlineStr">
        <is>
          <t>10% Haircut (Mild Slippage: $275M)</t>
        </is>
      </c>
      <c r="B15" s="49" t="n">
        <v>76.8</v>
      </c>
      <c r="C15" s="50" t="n">
        <v>69.90000000000001</v>
      </c>
      <c r="D15" s="50" t="n">
        <v>63.8</v>
      </c>
      <c r="E15" s="50" t="n">
        <v>58.4</v>
      </c>
      <c r="F15" s="50" t="n">
        <v>53.1</v>
      </c>
    </row>
    <row r="16" ht="20" customHeight="1">
      <c r="A16" s="17" t="inlineStr">
        <is>
          <t>15% Haircut (Base Case Underwrite: $260M)</t>
        </is>
      </c>
      <c r="B16" s="49" t="n">
        <v>72.09999999999999</v>
      </c>
      <c r="C16" s="50" t="n">
        <v>65.59999999999999</v>
      </c>
      <c r="D16" s="52" t="n">
        <v>59.8</v>
      </c>
      <c r="E16" s="50" t="n">
        <v>54.8</v>
      </c>
      <c r="F16" s="53" t="n">
        <v>49.8</v>
      </c>
    </row>
    <row r="17" ht="20" customHeight="1">
      <c r="A17" s="51" t="inlineStr">
        <is>
          <t>20% Haircut (Severe Disappointment: $244M)</t>
        </is>
      </c>
      <c r="B17" s="50" t="n">
        <v>67.40000000000001</v>
      </c>
      <c r="C17" s="50" t="n">
        <v>61.3</v>
      </c>
      <c r="D17" s="50" t="n">
        <v>55.9</v>
      </c>
      <c r="E17" s="50" t="n">
        <v>51.2</v>
      </c>
      <c r="F17" s="53" t="n">
        <v>46.5</v>
      </c>
    </row>
    <row r="18" ht="20" customHeight="1">
      <c r="A18" s="17" t="inlineStr">
        <is>
          <t>30% Haircut (Group Leakage / FX Shock: $214M)</t>
        </is>
      </c>
      <c r="B18" s="50" t="n">
        <v>58</v>
      </c>
      <c r="C18" s="50" t="n">
        <v>52.8</v>
      </c>
      <c r="D18" s="53" t="n">
        <v>48.1</v>
      </c>
      <c r="E18" s="53" t="n">
        <v>44</v>
      </c>
      <c r="F18" s="53" t="n">
        <v>40</v>
      </c>
    </row>
    <row r="20">
      <c r="A20" s="54" t="inlineStr">
        <is>
          <t>KEY TAKEAWAYS ON MANAGEMENT DEFICIT &amp; BOND VALUATION:
1. Management figures ($305M+ USD EBITDA) cannot be taken at face value due to a multi-year history of missed deleveraging targets and delayed asset sales.
2. At the current secondary market price of ~63.50 cents, the bond is pricing in an adjusted EBITDA of ~$270M discounted at ~26-27% yield, OR a base-case recovery of ~66 cents minus a 3-5 point illiquidity/restructuring fee.
3. If restructuring establishes a realistic debt service profile (e.g. coupon reprofiled to 5% cash + 6% PIK and maturity extended to 2033), the bond can re-rate to 72-76 cents once Houlihan stabilizes the capital structure.</t>
        </is>
      </c>
      <c r="B20" s="66" t="n"/>
      <c r="C20" s="66" t="n"/>
      <c r="D20" s="66" t="n"/>
      <c r="E20" s="66" t="n"/>
      <c r="F20" s="67" t="n"/>
    </row>
    <row r="21">
      <c r="A21" s="68" t="n"/>
      <c r="F21" s="69" t="n"/>
    </row>
    <row r="22">
      <c r="A22" s="68" t="n"/>
      <c r="F22" s="69" t="n"/>
    </row>
    <row r="23">
      <c r="A23" s="68" t="n"/>
      <c r="F23" s="69" t="n"/>
    </row>
    <row r="24">
      <c r="A24" s="70" t="n"/>
      <c r="B24" s="71" t="n"/>
      <c r="C24" s="71" t="n"/>
      <c r="D24" s="71" t="n"/>
      <c r="E24" s="71" t="n"/>
      <c r="F24" s="72" t="n"/>
    </row>
  </sheetData>
  <mergeCells count="5">
    <mergeCell ref="A20:F24"/>
    <mergeCell ref="A1:G1"/>
    <mergeCell ref="A12:G12"/>
    <mergeCell ref="A4:G4"/>
    <mergeCell ref="A2:G2"/>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8"/>
  <sheetViews>
    <sheetView showGridLines="1" workbookViewId="0">
      <selection activeCell="A1" sqref="A1"/>
    </sheetView>
  </sheetViews>
  <sheetFormatPr baseColWidth="8" defaultRowHeight="15"/>
  <cols>
    <col width="22" customWidth="1" min="1" max="1"/>
    <col width="25" customWidth="1" min="2" max="2"/>
    <col width="20" customWidth="1" min="3" max="3"/>
    <col width="28" customWidth="1" min="4" max="4"/>
    <col width="28" customWidth="1" min="5" max="5"/>
    <col width="38" customWidth="1" min="6" max="6"/>
  </cols>
  <sheetData>
    <row r="1" ht="28" customHeight="1">
      <c r="A1" s="1" t="inlineStr">
        <is>
          <t>ZORLU HOLDING — CONGLOMERATE ARCHITECTURE &amp; CROSS-DEFAULT CONTAGION RISKS</t>
        </is>
      </c>
    </row>
    <row r="3">
      <c r="A3" s="48" t="inlineStr">
        <is>
          <t>Group Entity / Affiliate</t>
        </is>
      </c>
      <c r="B3" s="11" t="inlineStr">
        <is>
          <t>Ownership / Relation to ZOREN</t>
        </is>
      </c>
      <c r="C3" s="11" t="inlineStr">
        <is>
          <t>Business Sector</t>
        </is>
      </c>
      <c r="D3" s="11" t="inlineStr">
        <is>
          <t>Debt / Financial Pressure Level</t>
        </is>
      </c>
      <c r="E3" s="11" t="inlineStr">
        <is>
          <t>Advisers / Restructuring Status</t>
        </is>
      </c>
      <c r="F3" s="11" t="inlineStr">
        <is>
          <t>Transmission Channel to Zorlu Enerji</t>
        </is>
      </c>
    </row>
    <row r="4" ht="40" customHeight="1">
      <c r="A4" s="12" t="inlineStr">
        <is>
          <t>Zorlu Holding A.Ş. (Parent)</t>
        </is>
      </c>
      <c r="B4" s="12" t="inlineStr">
        <is>
          <t>Ultimate Parent (~56% effective control)</t>
        </is>
      </c>
      <c r="C4" s="12" t="inlineStr">
        <is>
          <t>Conglomerate HoldCo</t>
        </is>
      </c>
      <c r="D4" s="47" t="inlineStr">
        <is>
          <t>Extreme: $3.2B - $4.9B total debt burden</t>
        </is>
      </c>
      <c r="E4" s="12" t="inlineStr">
        <is>
          <t>In senior restructuring talks with Turkish state &amp; private banks</t>
        </is>
      </c>
      <c r="F4" s="12" t="inlineStr">
        <is>
          <t>Demands cash upstreaming / dividends; shares of ZOREN pledged to banks.</t>
        </is>
      </c>
    </row>
    <row r="5" ht="40" customHeight="1">
      <c r="A5" s="13" t="inlineStr">
        <is>
          <t>Vestel Elektronik &amp; Beyaz Eşya</t>
        </is>
      </c>
      <c r="B5" s="13" t="inlineStr">
        <is>
          <t>Sister Subsidiary (Electronics &amp; Appliances)</t>
        </is>
      </c>
      <c r="C5" s="13" t="inlineStr">
        <is>
          <t>Consumer Electronics / White Goods</t>
        </is>
      </c>
      <c r="D5" s="47" t="inlineStr">
        <is>
          <t>Severe: Crushed margins, high TRY interest rate burden</t>
        </is>
      </c>
      <c r="E5" s="13" t="inlineStr">
        <is>
          <t>Hired Houlihan Lokey in July 2026 for bondholder restructuring</t>
        </is>
      </c>
      <c r="F5" s="13" t="inlineStr">
        <is>
          <t>Parallel restructuring validates systemic group-wide liquidity insolvency.</t>
        </is>
      </c>
    </row>
    <row r="6" ht="40" customHeight="1">
      <c r="A6" s="12" t="inlineStr">
        <is>
          <t>Korteks Mensucat</t>
        </is>
      </c>
      <c r="B6" s="12" t="inlineStr">
        <is>
          <t>Sister Subsidiary (Polyester &amp; Textiles)</t>
        </is>
      </c>
      <c r="C6" s="12" t="inlineStr">
        <is>
          <t>Textile Manufacturing</t>
        </is>
      </c>
      <c r="D6" s="47" t="inlineStr">
        <is>
          <t>High: High energy &amp; raw material cost inflation</t>
        </is>
      </c>
      <c r="E6" s="12" t="inlineStr">
        <is>
          <t>Refinancing bilateral bank lines under group umbrella</t>
        </is>
      </c>
      <c r="F6" s="12" t="inlineStr">
        <is>
          <t>Intercompany loan / supplier balances with Zorlu Enerji.</t>
        </is>
      </c>
    </row>
    <row r="7" ht="40" customHeight="1">
      <c r="A7" s="13" t="inlineStr">
        <is>
          <t>Zorlu Gayrimenkul (Real Estate)</t>
        </is>
      </c>
      <c r="B7" s="13" t="inlineStr">
        <is>
          <t>Sister Subsidiary (Zorlu Center / AVM)</t>
        </is>
      </c>
      <c r="C7" s="13" t="inlineStr">
        <is>
          <t>Commercial Real Estate</t>
        </is>
      </c>
      <c r="D7" s="47" t="inlineStr">
        <is>
          <t>Moderate to High: Large project debt facilities</t>
        </is>
      </c>
      <c r="E7" s="13" t="inlineStr">
        <is>
          <t>Asset monetization discussions (potential mall stake sale)</t>
        </is>
      </c>
      <c r="F7" s="13" t="inlineStr">
        <is>
          <t>Asset sale delays increase holding company pressure on ZOREN cash flow.</t>
        </is>
      </c>
    </row>
    <row r="8" ht="40" customHeight="1">
      <c r="A8" s="12" t="inlineStr">
        <is>
          <t>Zorlu Enerji (ZOREN)</t>
        </is>
      </c>
      <c r="B8" s="12" t="inlineStr">
        <is>
          <t>Target Company under Assessment</t>
        </is>
      </c>
      <c r="C8" s="12" t="inlineStr">
        <is>
          <t>Power Generation &amp; Distribution</t>
        </is>
      </c>
      <c r="D8" s="47" t="inlineStr">
        <is>
          <t>Severe: $1.48B Gross Debt; Eurobond coupon $121M/yr</t>
        </is>
      </c>
      <c r="E8" s="12" t="inlineStr">
        <is>
          <t>Hired Houlihan Lokey &amp; Servo Capital in Sep 2026</t>
        </is>
      </c>
      <c r="F8" s="12" t="inlineStr">
        <is>
          <t>Core utility operating cash cows (OEDAŞ) ring-fenced; HoldCo exposed.</t>
        </is>
      </c>
    </row>
  </sheetData>
  <mergeCells count="1">
    <mergeCell ref="A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2026-09-18T15:43:40Z</dcterms:created>
  <dcterms:modified xmlns:dcterms="http://purl.org/dc/terms/" xmlns:xsi="http://www.w3.org/2001/XMLSchema-instance" xsi:type="dcterms:W3CDTF">2026-09-18T16:33:18Z</dcterms:modified>
</cp:coreProperties>
</file>